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mecht\Desktop\Data_DES_WEC\"/>
    </mc:Choice>
  </mc:AlternateContent>
  <xr:revisionPtr revIDLastSave="0" documentId="13_ncr:1_{595FE242-62B8-482F-BC8F-3E6C13E321D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ll_values" sheetId="12" r:id="rId1"/>
    <sheet name="const_flow" sheetId="13" r:id="rId2"/>
    <sheet name="const_pr" sheetId="1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9" i="13" l="1"/>
  <c r="J9" i="13"/>
  <c r="I10" i="13"/>
  <c r="J10" i="13"/>
  <c r="I11" i="13"/>
  <c r="J11" i="13"/>
  <c r="I12" i="13"/>
  <c r="J12" i="13"/>
  <c r="I13" i="13"/>
  <c r="J13" i="13"/>
  <c r="I14" i="13"/>
  <c r="J14" i="13"/>
  <c r="I23" i="13"/>
  <c r="J23" i="13"/>
  <c r="I24" i="13"/>
  <c r="J24" i="13"/>
  <c r="I25" i="13"/>
  <c r="J25" i="13"/>
  <c r="I26" i="13"/>
  <c r="J26" i="13"/>
  <c r="I27" i="13"/>
  <c r="J27" i="13"/>
  <c r="I28" i="13"/>
  <c r="J28" i="13"/>
  <c r="J55" i="13"/>
  <c r="I55" i="13"/>
  <c r="J54" i="13"/>
  <c r="I54" i="13"/>
  <c r="J53" i="13"/>
  <c r="I53" i="13"/>
  <c r="J52" i="13"/>
  <c r="I52" i="13"/>
  <c r="J51" i="13"/>
  <c r="I51" i="13"/>
  <c r="J49" i="13"/>
  <c r="I49" i="13"/>
  <c r="J48" i="13"/>
  <c r="I48" i="13"/>
  <c r="J47" i="13"/>
  <c r="I47" i="13"/>
  <c r="J46" i="13"/>
  <c r="I46" i="13"/>
  <c r="J45" i="13"/>
  <c r="I45" i="13"/>
  <c r="J44" i="13"/>
  <c r="I44" i="13"/>
  <c r="J42" i="13"/>
  <c r="I42" i="13"/>
  <c r="J41" i="13"/>
  <c r="I41" i="13"/>
  <c r="J40" i="13"/>
  <c r="I40" i="13"/>
  <c r="J39" i="13"/>
  <c r="I39" i="13"/>
  <c r="J38" i="13"/>
  <c r="I38" i="13"/>
  <c r="J37" i="13"/>
  <c r="I37" i="13"/>
  <c r="J35" i="13"/>
  <c r="I35" i="13"/>
  <c r="J34" i="13"/>
  <c r="I34" i="13"/>
  <c r="J33" i="13"/>
  <c r="I33" i="13"/>
  <c r="J32" i="13"/>
  <c r="I32" i="13"/>
  <c r="J31" i="13"/>
  <c r="I31" i="13"/>
  <c r="J30" i="13"/>
  <c r="I30" i="13"/>
  <c r="J21" i="13"/>
  <c r="I21" i="13"/>
  <c r="J20" i="13"/>
  <c r="I20" i="13"/>
  <c r="J19" i="13"/>
  <c r="I19" i="13"/>
  <c r="J18" i="13"/>
  <c r="I18" i="13"/>
  <c r="J17" i="13"/>
  <c r="I17" i="13"/>
  <c r="J16" i="13"/>
  <c r="I16" i="13"/>
  <c r="J7" i="13"/>
  <c r="I7" i="13"/>
  <c r="J6" i="13"/>
  <c r="I6" i="13"/>
  <c r="J5" i="13"/>
  <c r="I5" i="13"/>
  <c r="J4" i="13"/>
  <c r="I4" i="13"/>
  <c r="J3" i="13"/>
  <c r="I3" i="13"/>
  <c r="J2" i="13"/>
  <c r="I2" i="13"/>
  <c r="I23" i="12"/>
  <c r="J23" i="12"/>
  <c r="I24" i="12"/>
  <c r="J24" i="12"/>
  <c r="J21" i="12"/>
  <c r="I21" i="12"/>
  <c r="J20" i="12"/>
  <c r="I20" i="12"/>
  <c r="J18" i="12"/>
  <c r="I18" i="12"/>
  <c r="J14" i="12"/>
  <c r="I14" i="12"/>
  <c r="I9" i="12"/>
  <c r="J9" i="12"/>
  <c r="I10" i="12"/>
  <c r="J10" i="12"/>
  <c r="I11" i="12"/>
  <c r="J11" i="12"/>
  <c r="I12" i="12"/>
  <c r="J12" i="12"/>
  <c r="I13" i="12"/>
  <c r="J13" i="12"/>
  <c r="J7" i="12"/>
  <c r="I7" i="12"/>
  <c r="J6" i="12"/>
  <c r="I6" i="12"/>
  <c r="I19" i="12"/>
  <c r="J19" i="12"/>
  <c r="I25" i="12"/>
  <c r="J25" i="12"/>
  <c r="I26" i="12"/>
  <c r="J26" i="12"/>
  <c r="I27" i="12"/>
  <c r="J27" i="12"/>
  <c r="I28" i="12"/>
  <c r="J28" i="12"/>
  <c r="I30" i="12"/>
  <c r="J30" i="12"/>
  <c r="I31" i="12"/>
  <c r="J31" i="12"/>
  <c r="I32" i="12"/>
  <c r="J32" i="12"/>
  <c r="I33" i="12"/>
  <c r="J33" i="12"/>
  <c r="I34" i="12"/>
  <c r="J34" i="12"/>
  <c r="I35" i="12"/>
  <c r="J35" i="12"/>
  <c r="I37" i="12"/>
  <c r="J37" i="12"/>
  <c r="I38" i="12"/>
  <c r="J38" i="12"/>
  <c r="I39" i="12"/>
  <c r="J39" i="12"/>
  <c r="I40" i="12"/>
  <c r="J40" i="12"/>
  <c r="I41" i="12"/>
  <c r="J41" i="12"/>
  <c r="I2" i="12"/>
  <c r="J2" i="12"/>
  <c r="I3" i="12"/>
  <c r="J3" i="12"/>
  <c r="I4" i="12"/>
  <c r="J4" i="12"/>
  <c r="I5" i="12"/>
  <c r="J5" i="12"/>
  <c r="I16" i="12"/>
  <c r="J16" i="12"/>
  <c r="J17" i="12"/>
  <c r="I17" i="12"/>
</calcChain>
</file>

<file path=xl/sharedStrings.xml><?xml version="1.0" encoding="utf-8"?>
<sst xmlns="http://schemas.openxmlformats.org/spreadsheetml/2006/main" count="44" uniqueCount="12">
  <si>
    <t>Feed flow (L/min)</t>
  </si>
  <si>
    <t>Permeate flow (L/min)</t>
  </si>
  <si>
    <t>Permeate salinity (ppm)</t>
  </si>
  <si>
    <t>Feed pressure (Bar)</t>
  </si>
  <si>
    <t>Brine flow (L/min)</t>
  </si>
  <si>
    <t>Brine Pressure (Bar)</t>
  </si>
  <si>
    <t>Brine salinity (ppm)</t>
  </si>
  <si>
    <t>% recovery</t>
  </si>
  <si>
    <t>Temp (degree C)</t>
  </si>
  <si>
    <t>salt rejection</t>
  </si>
  <si>
    <t>Pressure (Bar)</t>
  </si>
  <si>
    <t>Flow (L/min)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</si>
</sst>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37F58-4F47-43DD-9B20-1D139516E8C6}">
  <dimension ref="A1:J41"/>
  <sheetViews>
    <sheetView tabSelected="1" workbookViewId="0">
      <selection activeCell="C26" sqref="C26"/>
    </sheetView>
  </sheetViews>
  <sheetFormatPr defaultRowHeight="14.4" x14ac:dyDescent="0.3"/>
  <cols>
    <col min="1" max="1" width="13.44140625" customWidth="1"/>
    <col min="2" max="2" width="15.6640625" bestFit="1" customWidth="1"/>
    <col min="3" max="3" width="16.6640625" bestFit="1" customWidth="1"/>
    <col min="4" max="4" width="17" bestFit="1" customWidth="1"/>
    <col min="5" max="5" width="19.44140625" bestFit="1" customWidth="1"/>
    <col min="6" max="6" width="20.33203125" bestFit="1" customWidth="1"/>
    <col min="7" max="7" width="16.5546875" bestFit="1" customWidth="1"/>
    <col min="8" max="8" width="14.33203125" bestFit="1" customWidth="1"/>
    <col min="9" max="9" width="10" style="1" bestFit="1" customWidth="1"/>
    <col min="10" max="10" width="11.5546875" bestFit="1" customWidth="1"/>
  </cols>
  <sheetData>
    <row r="1" spans="1:10" x14ac:dyDescent="0.3">
      <c r="A1" t="s">
        <v>0</v>
      </c>
      <c r="B1" t="s">
        <v>4</v>
      </c>
      <c r="C1" t="s">
        <v>3</v>
      </c>
      <c r="D1" t="s">
        <v>5</v>
      </c>
      <c r="E1" t="s">
        <v>1</v>
      </c>
      <c r="F1" t="s">
        <v>2</v>
      </c>
      <c r="G1" t="s">
        <v>6</v>
      </c>
      <c r="H1" t="s">
        <v>8</v>
      </c>
      <c r="I1" s="1" t="s">
        <v>7</v>
      </c>
      <c r="J1" s="1" t="s">
        <v>9</v>
      </c>
    </row>
    <row r="2" spans="1:10" x14ac:dyDescent="0.3">
      <c r="A2">
        <v>6.15</v>
      </c>
      <c r="B2">
        <v>5.71</v>
      </c>
      <c r="C2">
        <v>34.869999999999997</v>
      </c>
      <c r="D2">
        <v>34.479999999999997</v>
      </c>
      <c r="E2">
        <v>0.36</v>
      </c>
      <c r="F2">
        <v>277.14</v>
      </c>
      <c r="G2">
        <v>37902</v>
      </c>
      <c r="H2">
        <v>26.65</v>
      </c>
      <c r="I2" s="1">
        <f t="shared" ref="I2:I16" si="0">(E2/A2)*100</f>
        <v>5.8536585365853657</v>
      </c>
      <c r="J2">
        <f t="shared" ref="J2:J16" si="1">(35000-F2)*100/35000</f>
        <v>99.208171428571433</v>
      </c>
    </row>
    <row r="3" spans="1:10" x14ac:dyDescent="0.3">
      <c r="A3">
        <v>6.04</v>
      </c>
      <c r="B3">
        <v>5.42</v>
      </c>
      <c r="C3">
        <v>39.520000000000003</v>
      </c>
      <c r="D3">
        <v>39.14</v>
      </c>
      <c r="E3">
        <v>0.56000000000000005</v>
      </c>
      <c r="F3">
        <v>202.64</v>
      </c>
      <c r="G3">
        <v>39047</v>
      </c>
      <c r="H3">
        <v>27.01</v>
      </c>
      <c r="I3" s="1">
        <f t="shared" si="0"/>
        <v>9.2715231788079464</v>
      </c>
      <c r="J3">
        <f t="shared" si="1"/>
        <v>99.421028571428565</v>
      </c>
    </row>
    <row r="4" spans="1:10" x14ac:dyDescent="0.3">
      <c r="A4">
        <v>5.92</v>
      </c>
      <c r="B4">
        <v>5.08</v>
      </c>
      <c r="C4">
        <v>45.36</v>
      </c>
      <c r="D4">
        <v>45.02</v>
      </c>
      <c r="E4">
        <v>0.78</v>
      </c>
      <c r="F4">
        <v>154.4</v>
      </c>
      <c r="G4">
        <v>40547</v>
      </c>
      <c r="H4">
        <v>26.69</v>
      </c>
      <c r="I4" s="1">
        <f t="shared" si="0"/>
        <v>13.175675675675677</v>
      </c>
      <c r="J4">
        <f t="shared" si="1"/>
        <v>99.55885714285715</v>
      </c>
    </row>
    <row r="5" spans="1:10" x14ac:dyDescent="0.3">
      <c r="A5">
        <v>6.12</v>
      </c>
      <c r="B5">
        <v>5.08</v>
      </c>
      <c r="C5">
        <v>50.2</v>
      </c>
      <c r="D5">
        <v>49.8</v>
      </c>
      <c r="E5">
        <v>0.97</v>
      </c>
      <c r="F5">
        <v>136.58000000000001</v>
      </c>
      <c r="G5">
        <v>41680</v>
      </c>
      <c r="H5">
        <v>27.13</v>
      </c>
      <c r="I5" s="1">
        <f t="shared" si="0"/>
        <v>15.849673202614378</v>
      </c>
      <c r="J5">
        <f t="shared" si="1"/>
        <v>99.609771428571435</v>
      </c>
    </row>
    <row r="6" spans="1:10" x14ac:dyDescent="0.3">
      <c r="A6">
        <v>6.04</v>
      </c>
      <c r="B6">
        <v>4.8899999999999997</v>
      </c>
      <c r="C6">
        <v>54</v>
      </c>
      <c r="D6">
        <v>53.59</v>
      </c>
      <c r="E6">
        <v>1.1000000000000001</v>
      </c>
      <c r="F6">
        <v>124.98</v>
      </c>
      <c r="G6">
        <v>42724</v>
      </c>
      <c r="H6">
        <v>26.8</v>
      </c>
      <c r="I6" s="1">
        <f t="shared" si="0"/>
        <v>18.211920529801326</v>
      </c>
      <c r="J6">
        <f t="shared" si="1"/>
        <v>99.642914285714269</v>
      </c>
    </row>
    <row r="7" spans="1:10" x14ac:dyDescent="0.3">
      <c r="A7">
        <v>5.9</v>
      </c>
      <c r="B7">
        <v>4.51</v>
      </c>
      <c r="C7">
        <v>60.22</v>
      </c>
      <c r="D7">
        <v>59.8</v>
      </c>
      <c r="E7">
        <v>1.33</v>
      </c>
      <c r="F7">
        <v>117.23</v>
      </c>
      <c r="G7">
        <v>44758</v>
      </c>
      <c r="H7">
        <v>27.2</v>
      </c>
      <c r="I7" s="1">
        <f t="shared" si="0"/>
        <v>22.542372881355931</v>
      </c>
      <c r="J7">
        <f t="shared" si="1"/>
        <v>99.665057142857123</v>
      </c>
    </row>
    <row r="9" spans="1:10" x14ac:dyDescent="0.3">
      <c r="A9">
        <v>8.11</v>
      </c>
      <c r="B9">
        <v>7.57</v>
      </c>
      <c r="C9">
        <v>35.840000000000003</v>
      </c>
      <c r="D9">
        <v>35.5</v>
      </c>
      <c r="E9">
        <v>0.44</v>
      </c>
      <c r="F9">
        <v>250.96</v>
      </c>
      <c r="G9">
        <v>37707</v>
      </c>
      <c r="H9">
        <v>26.42</v>
      </c>
      <c r="I9" s="1">
        <f t="shared" ref="I9:I14" si="2">(E9/A9)*100</f>
        <v>5.4254007398273743</v>
      </c>
      <c r="J9">
        <f t="shared" ref="J9:J14" si="3">(35000-F9)*100/35000</f>
        <v>99.282971428571429</v>
      </c>
    </row>
    <row r="10" spans="1:10" x14ac:dyDescent="0.3">
      <c r="A10">
        <v>8.0299999999999994</v>
      </c>
      <c r="B10">
        <v>7.32</v>
      </c>
      <c r="C10">
        <v>39.9</v>
      </c>
      <c r="D10">
        <v>39.520000000000003</v>
      </c>
      <c r="E10">
        <v>0.6</v>
      </c>
      <c r="F10">
        <v>195.83</v>
      </c>
      <c r="G10">
        <v>38467</v>
      </c>
      <c r="H10">
        <v>26.34</v>
      </c>
      <c r="I10" s="1">
        <f t="shared" si="2"/>
        <v>7.4719800747198013</v>
      </c>
      <c r="J10">
        <f t="shared" si="3"/>
        <v>99.440485714285714</v>
      </c>
    </row>
    <row r="11" spans="1:10" x14ac:dyDescent="0.3">
      <c r="A11">
        <v>7.92</v>
      </c>
      <c r="B11">
        <v>6.99</v>
      </c>
      <c r="C11">
        <v>45.4</v>
      </c>
      <c r="D11">
        <v>44.92</v>
      </c>
      <c r="E11">
        <v>0.82</v>
      </c>
      <c r="F11">
        <v>152.49</v>
      </c>
      <c r="G11">
        <v>39567</v>
      </c>
      <c r="H11">
        <v>26.55</v>
      </c>
      <c r="I11" s="1">
        <f t="shared" si="2"/>
        <v>10.353535353535353</v>
      </c>
      <c r="J11">
        <f t="shared" si="3"/>
        <v>99.564314285714289</v>
      </c>
    </row>
    <row r="12" spans="1:10" x14ac:dyDescent="0.3">
      <c r="A12">
        <v>8.14</v>
      </c>
      <c r="B12">
        <v>7.03</v>
      </c>
      <c r="C12">
        <v>50.07</v>
      </c>
      <c r="D12">
        <v>49.55</v>
      </c>
      <c r="E12">
        <v>0.99</v>
      </c>
      <c r="F12">
        <v>134.25</v>
      </c>
      <c r="G12">
        <v>40359</v>
      </c>
      <c r="H12">
        <v>26.24</v>
      </c>
      <c r="I12" s="1">
        <f t="shared" si="2"/>
        <v>12.162162162162161</v>
      </c>
      <c r="J12">
        <f t="shared" si="3"/>
        <v>99.616428571428571</v>
      </c>
    </row>
    <row r="13" spans="1:10" x14ac:dyDescent="0.3">
      <c r="A13">
        <v>7.73</v>
      </c>
      <c r="B13">
        <v>6.48</v>
      </c>
      <c r="C13">
        <v>54.42</v>
      </c>
      <c r="D13">
        <v>53.84</v>
      </c>
      <c r="E13">
        <v>1.1399999999999999</v>
      </c>
      <c r="F13">
        <v>121.34</v>
      </c>
      <c r="G13">
        <v>41431</v>
      </c>
      <c r="H13">
        <v>26.43</v>
      </c>
      <c r="I13" s="1">
        <f t="shared" si="2"/>
        <v>14.747736093143594</v>
      </c>
      <c r="J13">
        <f t="shared" si="3"/>
        <v>99.653314285714302</v>
      </c>
    </row>
    <row r="14" spans="1:10" x14ac:dyDescent="0.3">
      <c r="A14">
        <v>7.93</v>
      </c>
      <c r="B14">
        <v>6.5</v>
      </c>
      <c r="C14">
        <v>59.82</v>
      </c>
      <c r="D14">
        <v>59.4</v>
      </c>
      <c r="E14">
        <v>1.34</v>
      </c>
      <c r="F14">
        <v>113.11</v>
      </c>
      <c r="G14">
        <v>42342</v>
      </c>
      <c r="H14">
        <v>25.91</v>
      </c>
      <c r="I14" s="1">
        <f t="shared" si="2"/>
        <v>16.897856242118539</v>
      </c>
      <c r="J14">
        <f t="shared" si="3"/>
        <v>99.676828571428572</v>
      </c>
    </row>
    <row r="16" spans="1:10" x14ac:dyDescent="0.3">
      <c r="A16">
        <v>10.14</v>
      </c>
      <c r="B16">
        <v>9.67</v>
      </c>
      <c r="C16">
        <v>34.369999999999997</v>
      </c>
      <c r="D16">
        <v>33.64</v>
      </c>
      <c r="E16">
        <v>0.38</v>
      </c>
      <c r="F16">
        <v>293.14999999999998</v>
      </c>
      <c r="G16">
        <v>37054</v>
      </c>
      <c r="H16">
        <v>27.7</v>
      </c>
      <c r="I16" s="1">
        <f t="shared" si="0"/>
        <v>3.7475345167652856</v>
      </c>
      <c r="J16">
        <f t="shared" si="1"/>
        <v>99.162428571428578</v>
      </c>
    </row>
    <row r="17" spans="1:10" x14ac:dyDescent="0.3">
      <c r="A17">
        <v>10.050000000000001</v>
      </c>
      <c r="B17">
        <v>9.39</v>
      </c>
      <c r="C17">
        <v>39.69</v>
      </c>
      <c r="D17">
        <v>38.950000000000003</v>
      </c>
      <c r="E17">
        <v>0.57999999999999996</v>
      </c>
      <c r="F17">
        <v>216.98</v>
      </c>
      <c r="G17">
        <v>37805</v>
      </c>
      <c r="H17">
        <v>25.54</v>
      </c>
      <c r="I17" s="1">
        <f>(E17/A17)*100</f>
        <v>5.7711442786069638</v>
      </c>
      <c r="J17">
        <f>(35000-F17)*100/35000</f>
        <v>99.380057142857126</v>
      </c>
    </row>
    <row r="18" spans="1:10" x14ac:dyDescent="0.3">
      <c r="A18">
        <v>10.130000000000001</v>
      </c>
      <c r="B18">
        <v>9.17</v>
      </c>
      <c r="C18">
        <v>44.96</v>
      </c>
      <c r="D18">
        <v>44.25</v>
      </c>
      <c r="E18">
        <v>0.85</v>
      </c>
      <c r="F18">
        <v>153.06</v>
      </c>
      <c r="G18">
        <v>38788</v>
      </c>
      <c r="H18">
        <v>27.86</v>
      </c>
      <c r="I18" s="1">
        <f>(E18/A18)*100</f>
        <v>8.3909180651530093</v>
      </c>
      <c r="J18">
        <f>(35000-F18)*100/35000</f>
        <v>99.56268571428572</v>
      </c>
    </row>
    <row r="19" spans="1:10" x14ac:dyDescent="0.3">
      <c r="A19">
        <v>10.06</v>
      </c>
      <c r="B19">
        <v>8.99</v>
      </c>
      <c r="C19">
        <v>49.48</v>
      </c>
      <c r="D19">
        <v>48.77</v>
      </c>
      <c r="E19">
        <v>0.98</v>
      </c>
      <c r="F19">
        <v>140.22999999999999</v>
      </c>
      <c r="G19">
        <v>39333</v>
      </c>
      <c r="H19">
        <v>26.1</v>
      </c>
      <c r="I19" s="1">
        <f t="shared" ref="I19:I41" si="4">(E19/A19)*100</f>
        <v>9.7415506958250493</v>
      </c>
      <c r="J19">
        <f t="shared" ref="J19:J41" si="5">(35000-F19)*100/35000</f>
        <v>99.599342857142844</v>
      </c>
    </row>
    <row r="20" spans="1:10" x14ac:dyDescent="0.3">
      <c r="A20">
        <v>10.01</v>
      </c>
      <c r="B20">
        <v>8.6300000000000008</v>
      </c>
      <c r="C20">
        <v>55.62</v>
      </c>
      <c r="D20">
        <v>54.92</v>
      </c>
      <c r="E20">
        <v>1.27</v>
      </c>
      <c r="F20">
        <v>117.08</v>
      </c>
      <c r="G20">
        <v>40578</v>
      </c>
      <c r="H20">
        <v>27.35</v>
      </c>
      <c r="I20" s="1">
        <f t="shared" si="4"/>
        <v>12.687312687312687</v>
      </c>
      <c r="J20">
        <f t="shared" si="5"/>
        <v>99.665485714285708</v>
      </c>
    </row>
    <row r="21" spans="1:10" x14ac:dyDescent="0.3">
      <c r="A21">
        <v>9.93</v>
      </c>
      <c r="B21">
        <v>8.41</v>
      </c>
      <c r="C21">
        <v>58.89</v>
      </c>
      <c r="D21">
        <v>58.16</v>
      </c>
      <c r="E21">
        <v>1.41</v>
      </c>
      <c r="F21">
        <v>109.46</v>
      </c>
      <c r="G21">
        <v>41205</v>
      </c>
      <c r="H21">
        <v>27.73</v>
      </c>
      <c r="I21" s="1">
        <f t="shared" si="4"/>
        <v>14.199395770392748</v>
      </c>
      <c r="J21">
        <f t="shared" si="5"/>
        <v>99.687257142857149</v>
      </c>
    </row>
    <row r="23" spans="1:10" x14ac:dyDescent="0.3">
      <c r="A23">
        <v>12.17</v>
      </c>
      <c r="B23">
        <v>11.68</v>
      </c>
      <c r="C23">
        <v>35.74</v>
      </c>
      <c r="D23">
        <v>34.619999999999997</v>
      </c>
      <c r="E23">
        <v>0.44</v>
      </c>
      <c r="F23">
        <v>261.52</v>
      </c>
      <c r="G23">
        <v>36890</v>
      </c>
      <c r="H23">
        <v>26.65</v>
      </c>
      <c r="I23" s="1">
        <f t="shared" ref="I23:I24" si="6">(E23/A23)*100</f>
        <v>3.6154478225143798</v>
      </c>
      <c r="J23">
        <f t="shared" ref="J23:J24" si="7">(35000-F23)*100/35000</f>
        <v>99.252800000000008</v>
      </c>
    </row>
    <row r="24" spans="1:10" x14ac:dyDescent="0.3">
      <c r="A24">
        <v>12.08</v>
      </c>
      <c r="B24">
        <v>11.42</v>
      </c>
      <c r="C24">
        <v>39.81</v>
      </c>
      <c r="D24">
        <v>38.82</v>
      </c>
      <c r="E24">
        <v>0.62</v>
      </c>
      <c r="F24">
        <v>196.33</v>
      </c>
      <c r="G24">
        <v>37414</v>
      </c>
      <c r="H24">
        <v>26.5</v>
      </c>
      <c r="I24" s="1">
        <f t="shared" si="6"/>
        <v>5.1324503311258276</v>
      </c>
      <c r="J24">
        <f t="shared" si="7"/>
        <v>99.439057142857138</v>
      </c>
    </row>
    <row r="25" spans="1:10" x14ac:dyDescent="0.3">
      <c r="A25">
        <v>12.02</v>
      </c>
      <c r="B25">
        <v>11.14</v>
      </c>
      <c r="C25">
        <v>44.72</v>
      </c>
      <c r="D25">
        <v>43.75</v>
      </c>
      <c r="E25">
        <v>0.82</v>
      </c>
      <c r="F25">
        <v>154.72</v>
      </c>
      <c r="G25">
        <v>38136</v>
      </c>
      <c r="H25">
        <v>26.51</v>
      </c>
      <c r="I25" s="1">
        <f t="shared" si="4"/>
        <v>6.8219633943427613</v>
      </c>
      <c r="J25">
        <f t="shared" si="5"/>
        <v>99.557942857142862</v>
      </c>
    </row>
    <row r="26" spans="1:10" x14ac:dyDescent="0.3">
      <c r="A26">
        <v>11.97</v>
      </c>
      <c r="B26">
        <v>10.79</v>
      </c>
      <c r="C26">
        <v>50.46</v>
      </c>
      <c r="D26">
        <v>49.47</v>
      </c>
      <c r="E26">
        <v>1.08</v>
      </c>
      <c r="F26">
        <v>125.76</v>
      </c>
      <c r="G26">
        <v>38978</v>
      </c>
      <c r="H26">
        <v>26.93</v>
      </c>
      <c r="I26" s="1">
        <f t="shared" si="4"/>
        <v>9.0225563909774422</v>
      </c>
      <c r="J26">
        <f t="shared" si="5"/>
        <v>99.640685714285709</v>
      </c>
    </row>
    <row r="27" spans="1:10" x14ac:dyDescent="0.3">
      <c r="A27">
        <v>11.9</v>
      </c>
      <c r="B27">
        <v>10.6</v>
      </c>
      <c r="C27">
        <v>54.48</v>
      </c>
      <c r="D27">
        <v>53.48</v>
      </c>
      <c r="E27">
        <v>1.22</v>
      </c>
      <c r="F27">
        <v>115.79</v>
      </c>
      <c r="G27">
        <v>39398</v>
      </c>
      <c r="H27">
        <v>25.93</v>
      </c>
      <c r="I27" s="1">
        <f t="shared" si="4"/>
        <v>10.252100840336134</v>
      </c>
      <c r="J27">
        <f t="shared" si="5"/>
        <v>99.669171428571431</v>
      </c>
    </row>
    <row r="28" spans="1:10" x14ac:dyDescent="0.3">
      <c r="A28">
        <v>11.97</v>
      </c>
      <c r="B28">
        <v>10.37</v>
      </c>
      <c r="C28">
        <v>59.57</v>
      </c>
      <c r="D28">
        <v>58.56</v>
      </c>
      <c r="E28">
        <v>1.46</v>
      </c>
      <c r="F28">
        <v>102.2</v>
      </c>
      <c r="G28">
        <v>40234</v>
      </c>
      <c r="H28">
        <v>27.09</v>
      </c>
      <c r="I28" s="1">
        <f t="shared" si="4"/>
        <v>12.197159565580618</v>
      </c>
      <c r="J28">
        <f t="shared" si="5"/>
        <v>99.708000000000013</v>
      </c>
    </row>
    <row r="30" spans="1:10" x14ac:dyDescent="0.3">
      <c r="A30">
        <v>14.18</v>
      </c>
      <c r="B30">
        <v>13.58</v>
      </c>
      <c r="C30">
        <v>35.58</v>
      </c>
      <c r="D30">
        <v>34.31</v>
      </c>
      <c r="E30">
        <v>0.46</v>
      </c>
      <c r="F30">
        <v>249.53</v>
      </c>
      <c r="G30">
        <v>36829</v>
      </c>
      <c r="H30">
        <v>28.17</v>
      </c>
      <c r="I30" s="1">
        <f t="shared" si="4"/>
        <v>3.2440056417489425</v>
      </c>
      <c r="J30">
        <f t="shared" si="5"/>
        <v>99.287057142857137</v>
      </c>
    </row>
    <row r="31" spans="1:10" x14ac:dyDescent="0.3">
      <c r="A31">
        <v>14.09</v>
      </c>
      <c r="B31">
        <v>13.36</v>
      </c>
      <c r="C31">
        <v>40.200000000000003</v>
      </c>
      <c r="D31">
        <v>38.950000000000003</v>
      </c>
      <c r="E31">
        <v>0.65</v>
      </c>
      <c r="F31">
        <v>183.76</v>
      </c>
      <c r="G31">
        <v>37327</v>
      </c>
      <c r="H31">
        <v>26.65</v>
      </c>
      <c r="I31" s="1">
        <f t="shared" si="4"/>
        <v>4.61320085166785</v>
      </c>
      <c r="J31">
        <f t="shared" si="5"/>
        <v>99.474971428571422</v>
      </c>
    </row>
    <row r="32" spans="1:10" x14ac:dyDescent="0.3">
      <c r="A32">
        <v>13.99</v>
      </c>
      <c r="B32">
        <v>13</v>
      </c>
      <c r="C32">
        <v>45.66</v>
      </c>
      <c r="D32">
        <v>44.45</v>
      </c>
      <c r="E32">
        <v>0.92</v>
      </c>
      <c r="F32">
        <v>134.91999999999999</v>
      </c>
      <c r="G32">
        <v>38119</v>
      </c>
      <c r="H32">
        <v>27.58</v>
      </c>
      <c r="I32" s="1">
        <f t="shared" si="4"/>
        <v>6.5761258041458186</v>
      </c>
      <c r="J32">
        <f t="shared" si="5"/>
        <v>99.614514285714279</v>
      </c>
    </row>
    <row r="33" spans="1:10" x14ac:dyDescent="0.3">
      <c r="A33">
        <v>14.03</v>
      </c>
      <c r="B33">
        <v>12.91</v>
      </c>
      <c r="C33">
        <v>49.25</v>
      </c>
      <c r="D33">
        <v>48.06</v>
      </c>
      <c r="E33">
        <v>1.04</v>
      </c>
      <c r="F33">
        <v>126.95</v>
      </c>
      <c r="G33">
        <v>38485</v>
      </c>
      <c r="H33">
        <v>26.93</v>
      </c>
      <c r="I33" s="1">
        <f t="shared" si="4"/>
        <v>7.4126870990734144</v>
      </c>
      <c r="J33">
        <f t="shared" si="5"/>
        <v>99.637285714285724</v>
      </c>
    </row>
    <row r="34" spans="1:10" x14ac:dyDescent="0.3">
      <c r="A34">
        <v>13.8</v>
      </c>
      <c r="B34">
        <v>12.41</v>
      </c>
      <c r="C34">
        <v>54.25</v>
      </c>
      <c r="D34">
        <v>53.09</v>
      </c>
      <c r="E34">
        <v>1.3</v>
      </c>
      <c r="F34">
        <v>104.98</v>
      </c>
      <c r="G34">
        <v>39218</v>
      </c>
      <c r="H34">
        <v>28.04</v>
      </c>
      <c r="I34" s="1">
        <f t="shared" si="4"/>
        <v>9.4202898550724647</v>
      </c>
      <c r="J34">
        <f t="shared" si="5"/>
        <v>99.700057142857133</v>
      </c>
    </row>
    <row r="35" spans="1:10" x14ac:dyDescent="0.3">
      <c r="A35">
        <v>13.72</v>
      </c>
      <c r="B35">
        <v>12.11</v>
      </c>
      <c r="C35">
        <v>58.85</v>
      </c>
      <c r="D35">
        <v>57.67</v>
      </c>
      <c r="E35">
        <v>1.47</v>
      </c>
      <c r="F35">
        <v>94</v>
      </c>
      <c r="G35">
        <v>39627</v>
      </c>
      <c r="H35">
        <v>27.06</v>
      </c>
      <c r="I35" s="1">
        <f t="shared" si="4"/>
        <v>10.714285714285714</v>
      </c>
      <c r="J35">
        <f t="shared" si="5"/>
        <v>99.731428571428566</v>
      </c>
    </row>
    <row r="37" spans="1:10" x14ac:dyDescent="0.3">
      <c r="A37">
        <v>16.09</v>
      </c>
      <c r="B37">
        <v>15.15</v>
      </c>
      <c r="C37">
        <v>40.85</v>
      </c>
      <c r="D37">
        <v>39.26</v>
      </c>
      <c r="E37">
        <v>0.7</v>
      </c>
      <c r="F37">
        <v>160.51</v>
      </c>
      <c r="G37">
        <v>37168</v>
      </c>
      <c r="H37">
        <v>27.42</v>
      </c>
      <c r="I37" s="1">
        <f t="shared" si="4"/>
        <v>4.3505282784338091</v>
      </c>
      <c r="J37">
        <f t="shared" si="5"/>
        <v>99.541399999999996</v>
      </c>
    </row>
    <row r="38" spans="1:10" x14ac:dyDescent="0.3">
      <c r="A38">
        <v>15.98</v>
      </c>
      <c r="B38">
        <v>14.9</v>
      </c>
      <c r="C38">
        <v>46.69</v>
      </c>
      <c r="D38">
        <v>45.13</v>
      </c>
      <c r="E38">
        <v>1</v>
      </c>
      <c r="F38">
        <v>124.99</v>
      </c>
      <c r="G38">
        <v>37886</v>
      </c>
      <c r="H38">
        <v>28.23</v>
      </c>
      <c r="I38" s="1">
        <f t="shared" si="4"/>
        <v>6.2578222778473096</v>
      </c>
      <c r="J38">
        <f t="shared" si="5"/>
        <v>99.642885714285711</v>
      </c>
    </row>
    <row r="39" spans="1:10" x14ac:dyDescent="0.3">
      <c r="A39">
        <v>15.87</v>
      </c>
      <c r="B39">
        <v>14.68</v>
      </c>
      <c r="C39">
        <v>50.58</v>
      </c>
      <c r="D39">
        <v>49.06</v>
      </c>
      <c r="E39">
        <v>1.1200000000000001</v>
      </c>
      <c r="F39">
        <v>114.93</v>
      </c>
      <c r="G39">
        <v>38168</v>
      </c>
      <c r="H39">
        <v>26.54</v>
      </c>
      <c r="I39" s="1">
        <f t="shared" si="4"/>
        <v>7.0573408947700074</v>
      </c>
      <c r="J39">
        <f t="shared" si="5"/>
        <v>99.67162857142857</v>
      </c>
    </row>
    <row r="40" spans="1:10" x14ac:dyDescent="0.3">
      <c r="A40">
        <v>15.8</v>
      </c>
      <c r="B40">
        <v>14.35</v>
      </c>
      <c r="C40">
        <v>54.58</v>
      </c>
      <c r="D40">
        <v>53.17</v>
      </c>
      <c r="E40">
        <v>1.35</v>
      </c>
      <c r="F40">
        <v>98.44</v>
      </c>
      <c r="G40">
        <v>38708</v>
      </c>
      <c r="H40">
        <v>27.9</v>
      </c>
      <c r="I40" s="1">
        <f t="shared" si="4"/>
        <v>8.5443037974683538</v>
      </c>
      <c r="J40">
        <f t="shared" si="5"/>
        <v>99.718742857142857</v>
      </c>
    </row>
    <row r="41" spans="1:10" x14ac:dyDescent="0.3">
      <c r="A41">
        <v>15.95</v>
      </c>
      <c r="B41">
        <v>14.31</v>
      </c>
      <c r="C41">
        <v>60.22</v>
      </c>
      <c r="D41">
        <v>58.59</v>
      </c>
      <c r="E41">
        <v>1.52</v>
      </c>
      <c r="F41">
        <v>84.27</v>
      </c>
      <c r="G41">
        <v>39077</v>
      </c>
      <c r="H41">
        <v>26.38</v>
      </c>
      <c r="I41" s="1">
        <f t="shared" si="4"/>
        <v>9.5297805642633229</v>
      </c>
      <c r="J41">
        <f t="shared" si="5"/>
        <v>99.759228571428579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536C3-3CD1-4315-B2FE-20324631343A}">
  <dimension ref="A1:J5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44140625" customWidth="1"/>
    <col min="2" max="2" width="15.6640625" customWidth="1"/>
    <col min="3" max="3" width="16.6640625" bestFit="1" customWidth="1"/>
    <col min="4" max="4" width="17" customWidth="1"/>
    <col min="5" max="5" width="19.44140625" customWidth="1"/>
    <col min="6" max="6" width="20.33203125" customWidth="1"/>
    <col min="7" max="7" width="16.5546875" customWidth="1"/>
    <col min="8" max="8" width="14.33203125" customWidth="1"/>
    <col min="9" max="9" width="10" style="1" bestFit="1" customWidth="1"/>
    <col min="10" max="10" width="11.5546875" hidden="1" customWidth="1"/>
  </cols>
  <sheetData>
    <row r="1" spans="1:10" x14ac:dyDescent="0.3">
      <c r="A1" t="s">
        <v>0</v>
      </c>
      <c r="B1" t="s">
        <v>4</v>
      </c>
      <c r="C1" t="s">
        <v>3</v>
      </c>
      <c r="D1" t="s">
        <v>5</v>
      </c>
      <c r="E1" t="s">
        <v>1</v>
      </c>
      <c r="F1" t="s">
        <v>2</v>
      </c>
      <c r="G1" t="s">
        <v>6</v>
      </c>
      <c r="H1" t="s">
        <v>8</v>
      </c>
      <c r="I1" s="1" t="s">
        <v>7</v>
      </c>
      <c r="J1" s="1" t="s">
        <v>9</v>
      </c>
    </row>
    <row r="2" spans="1:10" x14ac:dyDescent="0.3">
      <c r="A2">
        <v>6.15</v>
      </c>
      <c r="B2">
        <v>5.71</v>
      </c>
      <c r="C2">
        <v>34.869999999999997</v>
      </c>
      <c r="D2">
        <v>34.479999999999997</v>
      </c>
      <c r="E2">
        <v>0.36</v>
      </c>
      <c r="F2">
        <v>277.14</v>
      </c>
      <c r="G2">
        <v>37902</v>
      </c>
      <c r="H2">
        <v>26.65</v>
      </c>
      <c r="I2" s="1">
        <f t="shared" ref="I2:I30" si="0">(E2/A2)*100</f>
        <v>5.8536585365853657</v>
      </c>
      <c r="J2">
        <f t="shared" ref="J2:J30" si="1">(35000-F2)*100/35000</f>
        <v>99.208171428571433</v>
      </c>
    </row>
    <row r="3" spans="1:10" x14ac:dyDescent="0.3">
      <c r="A3">
        <v>6.04</v>
      </c>
      <c r="B3">
        <v>5.42</v>
      </c>
      <c r="C3">
        <v>39.520000000000003</v>
      </c>
      <c r="D3">
        <v>39.14</v>
      </c>
      <c r="E3">
        <v>0.56000000000000005</v>
      </c>
      <c r="F3">
        <v>202.64</v>
      </c>
      <c r="G3">
        <v>39047</v>
      </c>
      <c r="H3">
        <v>27.01</v>
      </c>
      <c r="I3" s="1">
        <f t="shared" si="0"/>
        <v>9.2715231788079464</v>
      </c>
      <c r="J3">
        <f t="shared" si="1"/>
        <v>99.421028571428565</v>
      </c>
    </row>
    <row r="4" spans="1:10" x14ac:dyDescent="0.3">
      <c r="A4">
        <v>5.92</v>
      </c>
      <c r="B4">
        <v>5.08</v>
      </c>
      <c r="C4">
        <v>45.36</v>
      </c>
      <c r="D4">
        <v>45.02</v>
      </c>
      <c r="E4">
        <v>0.78</v>
      </c>
      <c r="F4">
        <v>154.4</v>
      </c>
      <c r="G4">
        <v>40547</v>
      </c>
      <c r="H4">
        <v>26.69</v>
      </c>
      <c r="I4" s="1">
        <f t="shared" si="0"/>
        <v>13.175675675675677</v>
      </c>
      <c r="J4">
        <f t="shared" si="1"/>
        <v>99.55885714285715</v>
      </c>
    </row>
    <row r="5" spans="1:10" x14ac:dyDescent="0.3">
      <c r="A5">
        <v>6.12</v>
      </c>
      <c r="B5">
        <v>5.08</v>
      </c>
      <c r="C5">
        <v>50.2</v>
      </c>
      <c r="D5">
        <v>49.8</v>
      </c>
      <c r="E5">
        <v>0.97</v>
      </c>
      <c r="F5">
        <v>136.58000000000001</v>
      </c>
      <c r="G5">
        <v>41680</v>
      </c>
      <c r="H5">
        <v>27.13</v>
      </c>
      <c r="I5" s="1">
        <f t="shared" si="0"/>
        <v>15.849673202614378</v>
      </c>
      <c r="J5">
        <f t="shared" si="1"/>
        <v>99.609771428571435</v>
      </c>
    </row>
    <row r="6" spans="1:10" x14ac:dyDescent="0.3">
      <c r="A6">
        <v>6.04</v>
      </c>
      <c r="B6">
        <v>4.8899999999999997</v>
      </c>
      <c r="C6">
        <v>54</v>
      </c>
      <c r="D6">
        <v>53.59</v>
      </c>
      <c r="E6">
        <v>1.1000000000000001</v>
      </c>
      <c r="F6">
        <v>124.98</v>
      </c>
      <c r="G6">
        <v>42724</v>
      </c>
      <c r="H6">
        <v>26.8</v>
      </c>
      <c r="I6" s="1">
        <f t="shared" si="0"/>
        <v>18.211920529801326</v>
      </c>
      <c r="J6">
        <f t="shared" si="1"/>
        <v>99.642914285714269</v>
      </c>
    </row>
    <row r="7" spans="1:10" x14ac:dyDescent="0.3">
      <c r="A7">
        <v>5.9</v>
      </c>
      <c r="B7">
        <v>4.51</v>
      </c>
      <c r="C7">
        <v>60.22</v>
      </c>
      <c r="D7">
        <v>59.8</v>
      </c>
      <c r="E7">
        <v>1.33</v>
      </c>
      <c r="F7">
        <v>117.23</v>
      </c>
      <c r="G7">
        <v>44758</v>
      </c>
      <c r="H7">
        <v>27.2</v>
      </c>
      <c r="I7" s="1">
        <f t="shared" si="0"/>
        <v>22.542372881355931</v>
      </c>
      <c r="J7">
        <f t="shared" si="1"/>
        <v>99.665057142857123</v>
      </c>
    </row>
    <row r="9" spans="1:10" x14ac:dyDescent="0.3">
      <c r="A9">
        <v>6.94</v>
      </c>
      <c r="B9">
        <v>6.44</v>
      </c>
      <c r="C9">
        <v>36.21</v>
      </c>
      <c r="D9">
        <v>35.93</v>
      </c>
      <c r="E9">
        <v>0.43</v>
      </c>
      <c r="F9">
        <v>253.47</v>
      </c>
      <c r="G9">
        <v>38087</v>
      </c>
      <c r="H9">
        <v>26.35</v>
      </c>
      <c r="I9" s="1">
        <f t="shared" ref="I9:I14" si="2">(E9/A9)*100</f>
        <v>6.195965417867435</v>
      </c>
      <c r="J9">
        <f t="shared" ref="J9:J14" si="3">(35000-F9)*100/35000</f>
        <v>99.275800000000004</v>
      </c>
    </row>
    <row r="10" spans="1:10" x14ac:dyDescent="0.3">
      <c r="A10">
        <v>7.01</v>
      </c>
      <c r="B10">
        <v>6.31</v>
      </c>
      <c r="C10">
        <v>41.31</v>
      </c>
      <c r="D10">
        <v>40.869999999999997</v>
      </c>
      <c r="E10">
        <v>0.63</v>
      </c>
      <c r="F10">
        <v>187.21</v>
      </c>
      <c r="G10">
        <v>39116</v>
      </c>
      <c r="H10">
        <v>26.51</v>
      </c>
      <c r="I10" s="1">
        <f t="shared" si="2"/>
        <v>8.9871611982881596</v>
      </c>
      <c r="J10">
        <f t="shared" si="3"/>
        <v>99.465114285714279</v>
      </c>
    </row>
    <row r="11" spans="1:10" x14ac:dyDescent="0.3">
      <c r="A11">
        <v>7.06</v>
      </c>
      <c r="B11">
        <v>6.23</v>
      </c>
      <c r="C11">
        <v>44.67</v>
      </c>
      <c r="D11">
        <v>44.2</v>
      </c>
      <c r="E11">
        <v>0.76</v>
      </c>
      <c r="F11">
        <v>160.29</v>
      </c>
      <c r="G11">
        <v>39776</v>
      </c>
      <c r="H11">
        <v>26.41</v>
      </c>
      <c r="I11" s="1">
        <f t="shared" si="2"/>
        <v>10.76487252124646</v>
      </c>
      <c r="J11">
        <f t="shared" si="3"/>
        <v>99.542028571428574</v>
      </c>
    </row>
    <row r="12" spans="1:10" x14ac:dyDescent="0.3">
      <c r="A12">
        <v>6.93</v>
      </c>
      <c r="B12">
        <v>5.85</v>
      </c>
      <c r="C12">
        <v>50.85</v>
      </c>
      <c r="D12">
        <v>50.37</v>
      </c>
      <c r="E12">
        <v>1</v>
      </c>
      <c r="F12">
        <v>133.5</v>
      </c>
      <c r="G12">
        <v>41229</v>
      </c>
      <c r="H12">
        <v>26.5</v>
      </c>
      <c r="I12" s="1">
        <f t="shared" si="2"/>
        <v>14.430014430014431</v>
      </c>
      <c r="J12">
        <f t="shared" si="3"/>
        <v>99.618571428571428</v>
      </c>
    </row>
    <row r="13" spans="1:10" x14ac:dyDescent="0.3">
      <c r="A13">
        <v>6.93</v>
      </c>
      <c r="B13">
        <v>5.69</v>
      </c>
      <c r="C13">
        <v>55.44</v>
      </c>
      <c r="D13">
        <v>55</v>
      </c>
      <c r="E13">
        <v>1.17</v>
      </c>
      <c r="F13">
        <v>121.15</v>
      </c>
      <c r="G13">
        <v>42300</v>
      </c>
      <c r="H13">
        <v>26.37</v>
      </c>
      <c r="I13" s="1">
        <f t="shared" si="2"/>
        <v>16.883116883116884</v>
      </c>
      <c r="J13">
        <f t="shared" si="3"/>
        <v>99.653857142857149</v>
      </c>
    </row>
    <row r="14" spans="1:10" x14ac:dyDescent="0.3">
      <c r="A14">
        <v>7.03</v>
      </c>
      <c r="B14">
        <v>5.63</v>
      </c>
      <c r="C14">
        <v>59.88</v>
      </c>
      <c r="D14">
        <v>59.43</v>
      </c>
      <c r="E14">
        <v>1.34</v>
      </c>
      <c r="F14">
        <v>113.67</v>
      </c>
      <c r="G14">
        <v>43316</v>
      </c>
      <c r="H14">
        <v>26.43</v>
      </c>
      <c r="I14" s="1">
        <f t="shared" si="2"/>
        <v>19.061166429587484</v>
      </c>
      <c r="J14">
        <f t="shared" si="3"/>
        <v>99.675228571428576</v>
      </c>
    </row>
    <row r="16" spans="1:10" x14ac:dyDescent="0.3">
      <c r="A16">
        <v>8.11</v>
      </c>
      <c r="B16">
        <v>7.57</v>
      </c>
      <c r="C16">
        <v>35.840000000000003</v>
      </c>
      <c r="D16">
        <v>35.5</v>
      </c>
      <c r="E16">
        <v>0.44</v>
      </c>
      <c r="F16">
        <v>250.96</v>
      </c>
      <c r="G16">
        <v>37707</v>
      </c>
      <c r="H16">
        <v>26.42</v>
      </c>
      <c r="I16" s="1">
        <f t="shared" ref="I16:I21" si="4">(E16/A16)*100</f>
        <v>5.4254007398273743</v>
      </c>
      <c r="J16">
        <f t="shared" ref="J16:J21" si="5">(35000-F16)*100/35000</f>
        <v>99.282971428571429</v>
      </c>
    </row>
    <row r="17" spans="1:10" x14ac:dyDescent="0.3">
      <c r="A17">
        <v>8.0299999999999994</v>
      </c>
      <c r="B17">
        <v>7.32</v>
      </c>
      <c r="C17">
        <v>39.9</v>
      </c>
      <c r="D17">
        <v>39.520000000000003</v>
      </c>
      <c r="E17">
        <v>0.6</v>
      </c>
      <c r="F17">
        <v>195.83</v>
      </c>
      <c r="G17">
        <v>38467</v>
      </c>
      <c r="H17">
        <v>26.34</v>
      </c>
      <c r="I17" s="1">
        <f t="shared" si="4"/>
        <v>7.4719800747198013</v>
      </c>
      <c r="J17">
        <f t="shared" si="5"/>
        <v>99.440485714285714</v>
      </c>
    </row>
    <row r="18" spans="1:10" x14ac:dyDescent="0.3">
      <c r="A18">
        <v>7.92</v>
      </c>
      <c r="B18">
        <v>6.99</v>
      </c>
      <c r="C18">
        <v>45.4</v>
      </c>
      <c r="D18">
        <v>44.92</v>
      </c>
      <c r="E18">
        <v>0.82</v>
      </c>
      <c r="F18">
        <v>152.49</v>
      </c>
      <c r="G18">
        <v>39567</v>
      </c>
      <c r="H18">
        <v>26.55</v>
      </c>
      <c r="I18" s="1">
        <f t="shared" si="4"/>
        <v>10.353535353535353</v>
      </c>
      <c r="J18">
        <f t="shared" si="5"/>
        <v>99.564314285714289</v>
      </c>
    </row>
    <row r="19" spans="1:10" x14ac:dyDescent="0.3">
      <c r="A19">
        <v>8.14</v>
      </c>
      <c r="B19">
        <v>7.03</v>
      </c>
      <c r="C19">
        <v>50.07</v>
      </c>
      <c r="D19">
        <v>49.55</v>
      </c>
      <c r="E19">
        <v>0.99</v>
      </c>
      <c r="F19">
        <v>134.25</v>
      </c>
      <c r="G19">
        <v>40359</v>
      </c>
      <c r="H19">
        <v>26.24</v>
      </c>
      <c r="I19" s="1">
        <f t="shared" si="4"/>
        <v>12.162162162162161</v>
      </c>
      <c r="J19">
        <f t="shared" si="5"/>
        <v>99.616428571428571</v>
      </c>
    </row>
    <row r="20" spans="1:10" x14ac:dyDescent="0.3">
      <c r="A20">
        <v>7.73</v>
      </c>
      <c r="B20">
        <v>6.48</v>
      </c>
      <c r="C20">
        <v>54.42</v>
      </c>
      <c r="D20">
        <v>53.84</v>
      </c>
      <c r="E20">
        <v>1.1399999999999999</v>
      </c>
      <c r="F20">
        <v>121.34</v>
      </c>
      <c r="G20">
        <v>41431</v>
      </c>
      <c r="H20">
        <v>26.43</v>
      </c>
      <c r="I20" s="1">
        <f t="shared" si="4"/>
        <v>14.747736093143594</v>
      </c>
      <c r="J20">
        <f t="shared" si="5"/>
        <v>99.653314285714302</v>
      </c>
    </row>
    <row r="21" spans="1:10" x14ac:dyDescent="0.3">
      <c r="A21">
        <v>7.93</v>
      </c>
      <c r="B21">
        <v>6.5</v>
      </c>
      <c r="C21">
        <v>59.82</v>
      </c>
      <c r="D21">
        <v>59.4</v>
      </c>
      <c r="E21">
        <v>1.34</v>
      </c>
      <c r="F21">
        <v>113.11</v>
      </c>
      <c r="G21">
        <v>42342</v>
      </c>
      <c r="H21">
        <v>25.91</v>
      </c>
      <c r="I21" s="1">
        <f t="shared" si="4"/>
        <v>16.897856242118539</v>
      </c>
      <c r="J21">
        <f t="shared" si="5"/>
        <v>99.676828571428572</v>
      </c>
    </row>
    <row r="23" spans="1:10" x14ac:dyDescent="0.3">
      <c r="A23">
        <v>8.9600000000000009</v>
      </c>
      <c r="B23">
        <v>8.49</v>
      </c>
      <c r="C23">
        <v>34.46</v>
      </c>
      <c r="D23">
        <v>33.83</v>
      </c>
      <c r="E23">
        <v>0.36</v>
      </c>
      <c r="F23">
        <v>290.3</v>
      </c>
      <c r="G23">
        <v>37276</v>
      </c>
      <c r="H23">
        <v>26.67</v>
      </c>
      <c r="I23" s="1">
        <f t="shared" ref="I23:I28" si="6">(E23/A23)*100</f>
        <v>4.0178571428571423</v>
      </c>
      <c r="J23">
        <f t="shared" ref="J23:J28" si="7">(35000-F23)*100/35000</f>
        <v>99.170571428571421</v>
      </c>
    </row>
    <row r="24" spans="1:10" x14ac:dyDescent="0.3">
      <c r="A24">
        <v>9.0500000000000007</v>
      </c>
      <c r="B24">
        <v>8.3699999999999992</v>
      </c>
      <c r="C24">
        <v>39.869999999999997</v>
      </c>
      <c r="D24">
        <v>39.22</v>
      </c>
      <c r="E24">
        <v>0.6</v>
      </c>
      <c r="F24">
        <v>190.1</v>
      </c>
      <c r="G24">
        <v>38264</v>
      </c>
      <c r="H24">
        <v>26.55</v>
      </c>
      <c r="I24" s="1">
        <f t="shared" si="6"/>
        <v>6.6298342541436464</v>
      </c>
      <c r="J24">
        <f t="shared" si="7"/>
        <v>99.456857142857146</v>
      </c>
    </row>
    <row r="25" spans="1:10" x14ac:dyDescent="0.3">
      <c r="A25">
        <v>8.9499999999999993</v>
      </c>
      <c r="B25">
        <v>8.0299999999999994</v>
      </c>
      <c r="C25">
        <v>45.17</v>
      </c>
      <c r="D25">
        <v>44.55</v>
      </c>
      <c r="E25">
        <v>0.83</v>
      </c>
      <c r="F25">
        <v>149.6</v>
      </c>
      <c r="G25">
        <v>39239</v>
      </c>
      <c r="H25">
        <v>26.76</v>
      </c>
      <c r="I25" s="1">
        <f t="shared" si="6"/>
        <v>9.2737430167597772</v>
      </c>
      <c r="J25">
        <f t="shared" si="7"/>
        <v>99.572571428571422</v>
      </c>
    </row>
    <row r="26" spans="1:10" x14ac:dyDescent="0.3">
      <c r="A26">
        <v>9.16</v>
      </c>
      <c r="B26">
        <v>8.09</v>
      </c>
      <c r="C26">
        <v>49.15</v>
      </c>
      <c r="D26">
        <v>48.54</v>
      </c>
      <c r="E26">
        <v>0.98</v>
      </c>
      <c r="F26">
        <v>127.79</v>
      </c>
      <c r="G26">
        <v>39809</v>
      </c>
      <c r="H26">
        <v>26.24</v>
      </c>
      <c r="I26" s="1">
        <f t="shared" si="6"/>
        <v>10.698689956331878</v>
      </c>
      <c r="J26">
        <f t="shared" si="7"/>
        <v>99.634885714285716</v>
      </c>
    </row>
    <row r="27" spans="1:10" x14ac:dyDescent="0.3">
      <c r="A27">
        <v>8.94</v>
      </c>
      <c r="B27">
        <v>7.62</v>
      </c>
      <c r="C27">
        <v>54.92</v>
      </c>
      <c r="D27">
        <v>54.32</v>
      </c>
      <c r="E27">
        <v>1.22</v>
      </c>
      <c r="F27">
        <v>114.56</v>
      </c>
      <c r="G27">
        <v>41066</v>
      </c>
      <c r="H27">
        <v>26.57</v>
      </c>
      <c r="I27" s="1">
        <f t="shared" si="6"/>
        <v>13.646532438478747</v>
      </c>
      <c r="J27">
        <f t="shared" si="7"/>
        <v>99.67268571428572</v>
      </c>
    </row>
    <row r="28" spans="1:10" x14ac:dyDescent="0.3">
      <c r="A28">
        <v>8.9499999999999993</v>
      </c>
      <c r="B28">
        <v>7.45</v>
      </c>
      <c r="C28">
        <v>60.46</v>
      </c>
      <c r="D28">
        <v>59.84</v>
      </c>
      <c r="E28">
        <v>1.38</v>
      </c>
      <c r="F28">
        <v>100.22</v>
      </c>
      <c r="G28">
        <v>41958</v>
      </c>
      <c r="H28">
        <v>25.39</v>
      </c>
      <c r="I28" s="1">
        <f t="shared" si="6"/>
        <v>15.418994413407821</v>
      </c>
      <c r="J28">
        <f t="shared" si="7"/>
        <v>99.713657142857144</v>
      </c>
    </row>
    <row r="30" spans="1:10" x14ac:dyDescent="0.3">
      <c r="A30">
        <v>10.14</v>
      </c>
      <c r="B30">
        <v>9.67</v>
      </c>
      <c r="C30">
        <v>34.369999999999997</v>
      </c>
      <c r="D30">
        <v>33.64</v>
      </c>
      <c r="E30">
        <v>0.38</v>
      </c>
      <c r="F30">
        <v>293.14999999999998</v>
      </c>
      <c r="G30">
        <v>37054</v>
      </c>
      <c r="H30">
        <v>27.7</v>
      </c>
      <c r="I30" s="1">
        <f t="shared" si="0"/>
        <v>3.7475345167652856</v>
      </c>
      <c r="J30">
        <f t="shared" si="1"/>
        <v>99.162428571428578</v>
      </c>
    </row>
    <row r="31" spans="1:10" x14ac:dyDescent="0.3">
      <c r="A31">
        <v>10.050000000000001</v>
      </c>
      <c r="B31">
        <v>9.39</v>
      </c>
      <c r="C31">
        <v>39.69</v>
      </c>
      <c r="D31">
        <v>38.950000000000003</v>
      </c>
      <c r="E31">
        <v>0.57999999999999996</v>
      </c>
      <c r="F31">
        <v>216.98</v>
      </c>
      <c r="G31">
        <v>37805</v>
      </c>
      <c r="H31">
        <v>25.54</v>
      </c>
      <c r="I31" s="1">
        <f>(E31/A31)*100</f>
        <v>5.7711442786069638</v>
      </c>
      <c r="J31">
        <f>(35000-F31)*100/35000</f>
        <v>99.380057142857126</v>
      </c>
    </row>
    <row r="32" spans="1:10" x14ac:dyDescent="0.3">
      <c r="A32">
        <v>10.130000000000001</v>
      </c>
      <c r="B32">
        <v>9.17</v>
      </c>
      <c r="C32">
        <v>44.96</v>
      </c>
      <c r="D32">
        <v>44.25</v>
      </c>
      <c r="E32">
        <v>0.85</v>
      </c>
      <c r="F32">
        <v>153.06</v>
      </c>
      <c r="G32">
        <v>38788</v>
      </c>
      <c r="H32">
        <v>27.86</v>
      </c>
      <c r="I32" s="1">
        <f>(E32/A32)*100</f>
        <v>8.3909180651530093</v>
      </c>
      <c r="J32">
        <f>(35000-F32)*100/35000</f>
        <v>99.56268571428572</v>
      </c>
    </row>
    <row r="33" spans="1:10" x14ac:dyDescent="0.3">
      <c r="A33">
        <v>10.06</v>
      </c>
      <c r="B33">
        <v>8.99</v>
      </c>
      <c r="C33">
        <v>49.48</v>
      </c>
      <c r="D33">
        <v>48.77</v>
      </c>
      <c r="E33">
        <v>0.98</v>
      </c>
      <c r="F33">
        <v>140.22999999999999</v>
      </c>
      <c r="G33">
        <v>39333</v>
      </c>
      <c r="H33">
        <v>26.1</v>
      </c>
      <c r="I33" s="1">
        <f t="shared" ref="I33:I55" si="8">(E33/A33)*100</f>
        <v>9.7415506958250493</v>
      </c>
      <c r="J33">
        <f t="shared" ref="J33:J55" si="9">(35000-F33)*100/35000</f>
        <v>99.599342857142844</v>
      </c>
    </row>
    <row r="34" spans="1:10" x14ac:dyDescent="0.3">
      <c r="A34">
        <v>10.01</v>
      </c>
      <c r="B34">
        <v>8.6300000000000008</v>
      </c>
      <c r="C34">
        <v>55.62</v>
      </c>
      <c r="D34">
        <v>54.92</v>
      </c>
      <c r="E34">
        <v>1.27</v>
      </c>
      <c r="F34">
        <v>117.08</v>
      </c>
      <c r="G34">
        <v>40578</v>
      </c>
      <c r="H34">
        <v>27.35</v>
      </c>
      <c r="I34" s="1">
        <f t="shared" si="8"/>
        <v>12.687312687312687</v>
      </c>
      <c r="J34">
        <f t="shared" si="9"/>
        <v>99.665485714285708</v>
      </c>
    </row>
    <row r="35" spans="1:10" x14ac:dyDescent="0.3">
      <c r="A35">
        <v>9.93</v>
      </c>
      <c r="B35">
        <v>8.41</v>
      </c>
      <c r="C35">
        <v>58.89</v>
      </c>
      <c r="D35">
        <v>58.16</v>
      </c>
      <c r="E35">
        <v>1.41</v>
      </c>
      <c r="F35">
        <v>109.46</v>
      </c>
      <c r="G35">
        <v>41205</v>
      </c>
      <c r="H35">
        <v>27.73</v>
      </c>
      <c r="I35" s="1">
        <f t="shared" si="8"/>
        <v>14.199395770392748</v>
      </c>
      <c r="J35">
        <f t="shared" si="9"/>
        <v>99.687257142857149</v>
      </c>
    </row>
    <row r="37" spans="1:10" x14ac:dyDescent="0.3">
      <c r="A37">
        <v>12.17</v>
      </c>
      <c r="B37">
        <v>11.68</v>
      </c>
      <c r="C37">
        <v>35.74</v>
      </c>
      <c r="D37">
        <v>34.619999999999997</v>
      </c>
      <c r="E37">
        <v>0.44</v>
      </c>
      <c r="F37">
        <v>261.52</v>
      </c>
      <c r="G37">
        <v>36890</v>
      </c>
      <c r="H37">
        <v>26.65</v>
      </c>
      <c r="I37" s="1">
        <f t="shared" ref="I37:I38" si="10">(E37/A37)*100</f>
        <v>3.6154478225143798</v>
      </c>
      <c r="J37">
        <f t="shared" ref="J37:J38" si="11">(35000-F37)*100/35000</f>
        <v>99.252800000000008</v>
      </c>
    </row>
    <row r="38" spans="1:10" x14ac:dyDescent="0.3">
      <c r="A38">
        <v>12.08</v>
      </c>
      <c r="B38">
        <v>11.42</v>
      </c>
      <c r="C38">
        <v>39.81</v>
      </c>
      <c r="D38">
        <v>38.82</v>
      </c>
      <c r="E38">
        <v>0.62</v>
      </c>
      <c r="F38">
        <v>196.33</v>
      </c>
      <c r="G38">
        <v>37414</v>
      </c>
      <c r="H38">
        <v>26.5</v>
      </c>
      <c r="I38" s="1">
        <f t="shared" si="10"/>
        <v>5.1324503311258276</v>
      </c>
      <c r="J38">
        <f t="shared" si="11"/>
        <v>99.439057142857138</v>
      </c>
    </row>
    <row r="39" spans="1:10" x14ac:dyDescent="0.3">
      <c r="A39">
        <v>12.02</v>
      </c>
      <c r="B39">
        <v>11.14</v>
      </c>
      <c r="C39">
        <v>44.72</v>
      </c>
      <c r="D39">
        <v>43.75</v>
      </c>
      <c r="E39">
        <v>0.82</v>
      </c>
      <c r="F39">
        <v>154.72</v>
      </c>
      <c r="G39">
        <v>38136</v>
      </c>
      <c r="H39">
        <v>26.51</v>
      </c>
      <c r="I39" s="1">
        <f t="shared" si="8"/>
        <v>6.8219633943427613</v>
      </c>
      <c r="J39">
        <f t="shared" si="9"/>
        <v>99.557942857142862</v>
      </c>
    </row>
    <row r="40" spans="1:10" x14ac:dyDescent="0.3">
      <c r="A40">
        <v>11.97</v>
      </c>
      <c r="B40">
        <v>10.79</v>
      </c>
      <c r="C40">
        <v>50.46</v>
      </c>
      <c r="D40">
        <v>49.47</v>
      </c>
      <c r="E40">
        <v>1.08</v>
      </c>
      <c r="F40">
        <v>125.76</v>
      </c>
      <c r="G40">
        <v>38978</v>
      </c>
      <c r="H40">
        <v>26.93</v>
      </c>
      <c r="I40" s="1">
        <f t="shared" si="8"/>
        <v>9.0225563909774422</v>
      </c>
      <c r="J40">
        <f t="shared" si="9"/>
        <v>99.640685714285709</v>
      </c>
    </row>
    <row r="41" spans="1:10" x14ac:dyDescent="0.3">
      <c r="A41">
        <v>11.9</v>
      </c>
      <c r="B41">
        <v>10.6</v>
      </c>
      <c r="C41">
        <v>54.48</v>
      </c>
      <c r="D41">
        <v>53.48</v>
      </c>
      <c r="E41">
        <v>1.22</v>
      </c>
      <c r="F41">
        <v>115.79</v>
      </c>
      <c r="G41">
        <v>39398</v>
      </c>
      <c r="H41">
        <v>25.93</v>
      </c>
      <c r="I41" s="1">
        <f t="shared" si="8"/>
        <v>10.252100840336134</v>
      </c>
      <c r="J41">
        <f t="shared" si="9"/>
        <v>99.669171428571431</v>
      </c>
    </row>
    <row r="42" spans="1:10" x14ac:dyDescent="0.3">
      <c r="A42">
        <v>11.97</v>
      </c>
      <c r="B42">
        <v>10.37</v>
      </c>
      <c r="C42">
        <v>59.57</v>
      </c>
      <c r="D42">
        <v>58.56</v>
      </c>
      <c r="E42">
        <v>1.46</v>
      </c>
      <c r="F42">
        <v>102.2</v>
      </c>
      <c r="G42">
        <v>40234</v>
      </c>
      <c r="H42">
        <v>27.09</v>
      </c>
      <c r="I42" s="1">
        <f t="shared" si="8"/>
        <v>12.197159565580618</v>
      </c>
      <c r="J42">
        <f t="shared" si="9"/>
        <v>99.708000000000013</v>
      </c>
    </row>
    <row r="44" spans="1:10" x14ac:dyDescent="0.3">
      <c r="A44">
        <v>14.18</v>
      </c>
      <c r="B44">
        <v>13.58</v>
      </c>
      <c r="C44">
        <v>35.58</v>
      </c>
      <c r="D44">
        <v>34.31</v>
      </c>
      <c r="E44">
        <v>0.46</v>
      </c>
      <c r="F44">
        <v>249.53</v>
      </c>
      <c r="G44">
        <v>36829</v>
      </c>
      <c r="H44">
        <v>28.17</v>
      </c>
      <c r="I44" s="1">
        <f t="shared" si="8"/>
        <v>3.2440056417489425</v>
      </c>
      <c r="J44">
        <f t="shared" si="9"/>
        <v>99.287057142857137</v>
      </c>
    </row>
    <row r="45" spans="1:10" x14ac:dyDescent="0.3">
      <c r="A45">
        <v>14.09</v>
      </c>
      <c r="B45">
        <v>13.36</v>
      </c>
      <c r="C45">
        <v>40.200000000000003</v>
      </c>
      <c r="D45">
        <v>38.950000000000003</v>
      </c>
      <c r="E45">
        <v>0.65</v>
      </c>
      <c r="F45">
        <v>183.76</v>
      </c>
      <c r="G45">
        <v>37327</v>
      </c>
      <c r="H45">
        <v>26.65</v>
      </c>
      <c r="I45" s="1">
        <f t="shared" si="8"/>
        <v>4.61320085166785</v>
      </c>
      <c r="J45">
        <f t="shared" si="9"/>
        <v>99.474971428571422</v>
      </c>
    </row>
    <row r="46" spans="1:10" x14ac:dyDescent="0.3">
      <c r="A46">
        <v>13.99</v>
      </c>
      <c r="B46">
        <v>13</v>
      </c>
      <c r="C46">
        <v>45.66</v>
      </c>
      <c r="D46">
        <v>44.45</v>
      </c>
      <c r="E46">
        <v>0.92</v>
      </c>
      <c r="F46">
        <v>134.91999999999999</v>
      </c>
      <c r="G46">
        <v>38119</v>
      </c>
      <c r="H46">
        <v>27.58</v>
      </c>
      <c r="I46" s="1">
        <f t="shared" si="8"/>
        <v>6.5761258041458186</v>
      </c>
      <c r="J46">
        <f t="shared" si="9"/>
        <v>99.614514285714279</v>
      </c>
    </row>
    <row r="47" spans="1:10" x14ac:dyDescent="0.3">
      <c r="A47">
        <v>14.03</v>
      </c>
      <c r="B47">
        <v>12.91</v>
      </c>
      <c r="C47">
        <v>49.25</v>
      </c>
      <c r="D47">
        <v>48.06</v>
      </c>
      <c r="E47">
        <v>1.04</v>
      </c>
      <c r="F47">
        <v>126.95</v>
      </c>
      <c r="G47">
        <v>38485</v>
      </c>
      <c r="H47">
        <v>26.93</v>
      </c>
      <c r="I47" s="1">
        <f t="shared" si="8"/>
        <v>7.4126870990734144</v>
      </c>
      <c r="J47">
        <f t="shared" si="9"/>
        <v>99.637285714285724</v>
      </c>
    </row>
    <row r="48" spans="1:10" x14ac:dyDescent="0.3">
      <c r="A48">
        <v>13.8</v>
      </c>
      <c r="B48">
        <v>12.41</v>
      </c>
      <c r="C48">
        <v>54.25</v>
      </c>
      <c r="D48">
        <v>53.09</v>
      </c>
      <c r="E48">
        <v>1.3</v>
      </c>
      <c r="F48">
        <v>104.98</v>
      </c>
      <c r="G48">
        <v>39218</v>
      </c>
      <c r="H48">
        <v>28.04</v>
      </c>
      <c r="I48" s="1">
        <f t="shared" si="8"/>
        <v>9.4202898550724647</v>
      </c>
      <c r="J48">
        <f t="shared" si="9"/>
        <v>99.700057142857133</v>
      </c>
    </row>
    <row r="49" spans="1:10" x14ac:dyDescent="0.3">
      <c r="A49">
        <v>13.72</v>
      </c>
      <c r="B49">
        <v>12.11</v>
      </c>
      <c r="C49">
        <v>58.85</v>
      </c>
      <c r="D49">
        <v>57.67</v>
      </c>
      <c r="E49">
        <v>1.47</v>
      </c>
      <c r="F49">
        <v>94</v>
      </c>
      <c r="G49">
        <v>39627</v>
      </c>
      <c r="H49">
        <v>27.06</v>
      </c>
      <c r="I49" s="1">
        <f t="shared" si="8"/>
        <v>10.714285714285714</v>
      </c>
      <c r="J49">
        <f t="shared" si="9"/>
        <v>99.731428571428566</v>
      </c>
    </row>
    <row r="51" spans="1:10" x14ac:dyDescent="0.3">
      <c r="A51">
        <v>16.09</v>
      </c>
      <c r="B51">
        <v>15.15</v>
      </c>
      <c r="C51">
        <v>40.85</v>
      </c>
      <c r="D51">
        <v>39.26</v>
      </c>
      <c r="E51">
        <v>0.7</v>
      </c>
      <c r="F51">
        <v>160.51</v>
      </c>
      <c r="G51">
        <v>37168</v>
      </c>
      <c r="H51">
        <v>27.42</v>
      </c>
      <c r="I51" s="1">
        <f t="shared" si="8"/>
        <v>4.3505282784338091</v>
      </c>
      <c r="J51">
        <f t="shared" si="9"/>
        <v>99.541399999999996</v>
      </c>
    </row>
    <row r="52" spans="1:10" x14ac:dyDescent="0.3">
      <c r="A52">
        <v>15.98</v>
      </c>
      <c r="B52">
        <v>14.9</v>
      </c>
      <c r="C52">
        <v>46.69</v>
      </c>
      <c r="D52">
        <v>45.13</v>
      </c>
      <c r="E52">
        <v>1</v>
      </c>
      <c r="F52">
        <v>124.99</v>
      </c>
      <c r="G52">
        <v>37886</v>
      </c>
      <c r="H52">
        <v>28.23</v>
      </c>
      <c r="I52" s="1">
        <f t="shared" si="8"/>
        <v>6.2578222778473096</v>
      </c>
      <c r="J52">
        <f t="shared" si="9"/>
        <v>99.642885714285711</v>
      </c>
    </row>
    <row r="53" spans="1:10" x14ac:dyDescent="0.3">
      <c r="A53">
        <v>15.87</v>
      </c>
      <c r="B53">
        <v>14.68</v>
      </c>
      <c r="C53">
        <v>50.58</v>
      </c>
      <c r="D53">
        <v>49.06</v>
      </c>
      <c r="E53">
        <v>1.1200000000000001</v>
      </c>
      <c r="F53">
        <v>114.93</v>
      </c>
      <c r="G53">
        <v>38168</v>
      </c>
      <c r="H53">
        <v>26.54</v>
      </c>
      <c r="I53" s="1">
        <f t="shared" si="8"/>
        <v>7.0573408947700074</v>
      </c>
      <c r="J53">
        <f t="shared" si="9"/>
        <v>99.67162857142857</v>
      </c>
    </row>
    <row r="54" spans="1:10" x14ac:dyDescent="0.3">
      <c r="A54">
        <v>15.8</v>
      </c>
      <c r="B54">
        <v>14.35</v>
      </c>
      <c r="C54">
        <v>54.58</v>
      </c>
      <c r="D54">
        <v>53.17</v>
      </c>
      <c r="E54">
        <v>1.35</v>
      </c>
      <c r="F54">
        <v>98.44</v>
      </c>
      <c r="G54">
        <v>38708</v>
      </c>
      <c r="H54">
        <v>27.9</v>
      </c>
      <c r="I54" s="1">
        <f t="shared" si="8"/>
        <v>8.5443037974683538</v>
      </c>
      <c r="J54">
        <f t="shared" si="9"/>
        <v>99.718742857142857</v>
      </c>
    </row>
    <row r="55" spans="1:10" x14ac:dyDescent="0.3">
      <c r="A55">
        <v>15.95</v>
      </c>
      <c r="B55">
        <v>14.31</v>
      </c>
      <c r="C55">
        <v>60.22</v>
      </c>
      <c r="D55">
        <v>58.59</v>
      </c>
      <c r="E55">
        <v>1.52</v>
      </c>
      <c r="F55">
        <v>84.27</v>
      </c>
      <c r="G55">
        <v>39077</v>
      </c>
      <c r="H55">
        <v>26.38</v>
      </c>
      <c r="I55" s="1">
        <f t="shared" si="8"/>
        <v>9.5297805642633229</v>
      </c>
      <c r="J55">
        <f t="shared" si="9"/>
        <v>99.759228571428579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3B588-329D-40E3-AF97-E59F5B59ACC2}">
  <dimension ref="A1:D58"/>
  <sheetViews>
    <sheetView workbookViewId="0">
      <selection activeCell="F30" sqref="F30"/>
    </sheetView>
  </sheetViews>
  <sheetFormatPr defaultRowHeight="14.4" x14ac:dyDescent="0.3"/>
  <cols>
    <col min="1" max="1" width="12.21875" bestFit="1" customWidth="1"/>
    <col min="2" max="2" width="14.88671875" customWidth="1"/>
    <col min="3" max="3" width="17.109375" style="1" customWidth="1"/>
    <col min="4" max="4" width="20.33203125" style="1" bestFit="1" customWidth="1"/>
  </cols>
  <sheetData>
    <row r="1" spans="1:4" x14ac:dyDescent="0.3">
      <c r="A1" t="s">
        <v>10</v>
      </c>
      <c r="B1" t="s">
        <v>11</v>
      </c>
      <c r="C1" s="1" t="s">
        <v>7</v>
      </c>
      <c r="D1" s="1" t="s">
        <v>2</v>
      </c>
    </row>
    <row r="2" spans="1:4" x14ac:dyDescent="0.3">
      <c r="A2">
        <v>60.22</v>
      </c>
      <c r="B2">
        <v>5.9</v>
      </c>
      <c r="C2" s="1">
        <v>22.542372881355931</v>
      </c>
      <c r="D2" s="1">
        <v>117.23</v>
      </c>
    </row>
    <row r="3" spans="1:4" x14ac:dyDescent="0.3">
      <c r="A3">
        <v>59.88</v>
      </c>
      <c r="B3">
        <v>7.03</v>
      </c>
      <c r="C3" s="1">
        <v>19.061166429587484</v>
      </c>
      <c r="D3" s="1">
        <v>113.67</v>
      </c>
    </row>
    <row r="4" spans="1:4" x14ac:dyDescent="0.3">
      <c r="A4">
        <v>59.82</v>
      </c>
      <c r="B4">
        <v>7.93</v>
      </c>
      <c r="C4" s="1">
        <v>16.897856242118539</v>
      </c>
      <c r="D4" s="1">
        <v>113.11</v>
      </c>
    </row>
    <row r="5" spans="1:4" x14ac:dyDescent="0.3">
      <c r="A5">
        <v>60.46</v>
      </c>
      <c r="B5">
        <v>8.9499999999999993</v>
      </c>
      <c r="C5" s="1">
        <v>15.418994413407821</v>
      </c>
      <c r="D5" s="1">
        <v>100.22</v>
      </c>
    </row>
    <row r="6" spans="1:4" x14ac:dyDescent="0.3">
      <c r="A6">
        <v>58.89</v>
      </c>
      <c r="B6">
        <v>9.93</v>
      </c>
      <c r="C6" s="1">
        <v>14.199395770392748</v>
      </c>
      <c r="D6" s="1">
        <v>109.46</v>
      </c>
    </row>
    <row r="7" spans="1:4" x14ac:dyDescent="0.3">
      <c r="A7">
        <v>59.57</v>
      </c>
      <c r="B7">
        <v>11.97</v>
      </c>
      <c r="C7" s="1">
        <v>12.197159565580618</v>
      </c>
      <c r="D7" s="1">
        <v>102.2</v>
      </c>
    </row>
    <row r="8" spans="1:4" x14ac:dyDescent="0.3">
      <c r="A8">
        <v>58.85</v>
      </c>
      <c r="B8">
        <v>13.72</v>
      </c>
      <c r="C8" s="1">
        <v>10.714285714285714</v>
      </c>
      <c r="D8" s="1">
        <v>94</v>
      </c>
    </row>
    <row r="9" spans="1:4" x14ac:dyDescent="0.3">
      <c r="A9">
        <v>60.22</v>
      </c>
      <c r="B9">
        <v>15.95</v>
      </c>
      <c r="C9" s="1">
        <v>9.5297805642633229</v>
      </c>
      <c r="D9" s="1">
        <v>84.27</v>
      </c>
    </row>
    <row r="11" spans="1:4" x14ac:dyDescent="0.3">
      <c r="A11" t="s">
        <v>10</v>
      </c>
      <c r="B11" t="s">
        <v>11</v>
      </c>
      <c r="C11" s="1" t="s">
        <v>7</v>
      </c>
      <c r="D11" s="1" t="s">
        <v>2</v>
      </c>
    </row>
    <row r="12" spans="1:4" x14ac:dyDescent="0.3">
      <c r="A12">
        <v>54</v>
      </c>
      <c r="B12">
        <v>6.04</v>
      </c>
      <c r="C12" s="1">
        <v>18.21</v>
      </c>
      <c r="D12" s="1">
        <v>124.98</v>
      </c>
    </row>
    <row r="13" spans="1:4" x14ac:dyDescent="0.3">
      <c r="A13">
        <v>55.44</v>
      </c>
      <c r="B13">
        <v>6.93</v>
      </c>
      <c r="C13" s="1">
        <v>16.88</v>
      </c>
      <c r="D13" s="1">
        <v>121.15</v>
      </c>
    </row>
    <row r="14" spans="1:4" x14ac:dyDescent="0.3">
      <c r="A14">
        <v>54.42</v>
      </c>
      <c r="B14">
        <v>7.73</v>
      </c>
      <c r="C14" s="1">
        <v>14.75</v>
      </c>
      <c r="D14" s="1">
        <v>121.34</v>
      </c>
    </row>
    <row r="15" spans="1:4" x14ac:dyDescent="0.3">
      <c r="A15">
        <v>54.92</v>
      </c>
      <c r="B15">
        <v>8.94</v>
      </c>
      <c r="C15" s="1">
        <v>13.65</v>
      </c>
      <c r="D15" s="1">
        <v>114.56</v>
      </c>
    </row>
    <row r="16" spans="1:4" x14ac:dyDescent="0.3">
      <c r="A16">
        <v>55.62</v>
      </c>
      <c r="B16">
        <v>10.01</v>
      </c>
      <c r="C16" s="1">
        <v>12.69</v>
      </c>
      <c r="D16" s="1">
        <v>117.08</v>
      </c>
    </row>
    <row r="17" spans="1:4" x14ac:dyDescent="0.3">
      <c r="A17">
        <v>54.48</v>
      </c>
      <c r="B17">
        <v>11.9</v>
      </c>
      <c r="C17" s="1">
        <v>10.25</v>
      </c>
      <c r="D17" s="1">
        <v>115.79</v>
      </c>
    </row>
    <row r="18" spans="1:4" x14ac:dyDescent="0.3">
      <c r="A18">
        <v>54.25</v>
      </c>
      <c r="B18">
        <v>13.8</v>
      </c>
      <c r="C18" s="1">
        <v>9.42</v>
      </c>
      <c r="D18" s="1">
        <v>104.98</v>
      </c>
    </row>
    <row r="19" spans="1:4" x14ac:dyDescent="0.3">
      <c r="A19">
        <v>54.58</v>
      </c>
      <c r="B19">
        <v>15.8</v>
      </c>
      <c r="C19" s="1">
        <v>8.5399999999999991</v>
      </c>
      <c r="D19" s="1">
        <v>98.44</v>
      </c>
    </row>
    <row r="21" spans="1:4" x14ac:dyDescent="0.3">
      <c r="A21" t="s">
        <v>10</v>
      </c>
      <c r="B21" t="s">
        <v>11</v>
      </c>
      <c r="C21" s="1" t="s">
        <v>7</v>
      </c>
      <c r="D21" s="1" t="s">
        <v>2</v>
      </c>
    </row>
    <row r="22" spans="1:4" x14ac:dyDescent="0.3">
      <c r="A22">
        <v>50.2</v>
      </c>
      <c r="B22">
        <v>6.12</v>
      </c>
      <c r="C22" s="1">
        <v>15.85</v>
      </c>
      <c r="D22" s="1">
        <v>136.58000000000001</v>
      </c>
    </row>
    <row r="23" spans="1:4" x14ac:dyDescent="0.3">
      <c r="A23">
        <v>50.85</v>
      </c>
      <c r="B23">
        <v>6.93</v>
      </c>
      <c r="C23" s="1">
        <v>14.43</v>
      </c>
      <c r="D23" s="1">
        <v>133.5</v>
      </c>
    </row>
    <row r="24" spans="1:4" x14ac:dyDescent="0.3">
      <c r="A24">
        <v>50.07</v>
      </c>
      <c r="B24">
        <v>8.14</v>
      </c>
      <c r="C24" s="1">
        <v>12.16</v>
      </c>
      <c r="D24" s="1">
        <v>134.25</v>
      </c>
    </row>
    <row r="25" spans="1:4" x14ac:dyDescent="0.3">
      <c r="A25">
        <v>49.15</v>
      </c>
      <c r="B25">
        <v>9.16</v>
      </c>
      <c r="C25" s="1">
        <v>10.7</v>
      </c>
      <c r="D25" s="1">
        <v>127.79</v>
      </c>
    </row>
    <row r="26" spans="1:4" x14ac:dyDescent="0.3">
      <c r="A26">
        <v>49.48</v>
      </c>
      <c r="B26">
        <v>10.06</v>
      </c>
      <c r="C26" s="1">
        <v>9.74</v>
      </c>
      <c r="D26" s="1">
        <v>140.22999999999999</v>
      </c>
    </row>
    <row r="27" spans="1:4" x14ac:dyDescent="0.3">
      <c r="A27">
        <v>50.46</v>
      </c>
      <c r="B27">
        <v>11.97</v>
      </c>
      <c r="C27" s="1">
        <v>9.02</v>
      </c>
      <c r="D27" s="1">
        <v>125.76</v>
      </c>
    </row>
    <row r="28" spans="1:4" x14ac:dyDescent="0.3">
      <c r="A28">
        <v>49.25</v>
      </c>
      <c r="B28">
        <v>14.03</v>
      </c>
      <c r="C28" s="1">
        <v>7.41</v>
      </c>
      <c r="D28" s="1">
        <v>126.95</v>
      </c>
    </row>
    <row r="29" spans="1:4" x14ac:dyDescent="0.3">
      <c r="A29">
        <v>50.58</v>
      </c>
      <c r="B29">
        <v>15.87</v>
      </c>
      <c r="C29" s="1">
        <v>7.06</v>
      </c>
      <c r="D29" s="1">
        <v>114.93</v>
      </c>
    </row>
    <row r="31" spans="1:4" x14ac:dyDescent="0.3">
      <c r="A31" t="s">
        <v>10</v>
      </c>
      <c r="B31" t="s">
        <v>11</v>
      </c>
      <c r="C31" s="1" t="s">
        <v>7</v>
      </c>
      <c r="D31" s="1" t="s">
        <v>2</v>
      </c>
    </row>
    <row r="32" spans="1:4" x14ac:dyDescent="0.3">
      <c r="A32">
        <v>45.36</v>
      </c>
      <c r="B32">
        <v>5.92</v>
      </c>
      <c r="C32" s="1">
        <v>13.18</v>
      </c>
      <c r="D32" s="1">
        <v>154.4</v>
      </c>
    </row>
    <row r="33" spans="1:4" x14ac:dyDescent="0.3">
      <c r="A33">
        <v>44.67</v>
      </c>
      <c r="B33">
        <v>7.06</v>
      </c>
      <c r="C33" s="1">
        <v>10.76</v>
      </c>
      <c r="D33" s="1">
        <v>160.29</v>
      </c>
    </row>
    <row r="34" spans="1:4" x14ac:dyDescent="0.3">
      <c r="A34">
        <v>45.4</v>
      </c>
      <c r="B34">
        <v>7.92</v>
      </c>
      <c r="C34" s="1">
        <v>10.35</v>
      </c>
      <c r="D34" s="1">
        <v>152.49</v>
      </c>
    </row>
    <row r="35" spans="1:4" x14ac:dyDescent="0.3">
      <c r="A35">
        <v>45.17</v>
      </c>
      <c r="B35">
        <v>8.9499999999999993</v>
      </c>
      <c r="C35" s="1">
        <v>9.27</v>
      </c>
      <c r="D35" s="1">
        <v>149.6</v>
      </c>
    </row>
    <row r="36" spans="1:4" x14ac:dyDescent="0.3">
      <c r="A36">
        <v>44.96</v>
      </c>
      <c r="B36">
        <v>10.130000000000001</v>
      </c>
      <c r="C36" s="1">
        <v>8.39</v>
      </c>
      <c r="D36" s="1">
        <v>153.06</v>
      </c>
    </row>
    <row r="37" spans="1:4" x14ac:dyDescent="0.3">
      <c r="A37">
        <v>44.72</v>
      </c>
      <c r="B37">
        <v>12.02</v>
      </c>
      <c r="C37" s="1">
        <v>6.82</v>
      </c>
      <c r="D37" s="1">
        <v>154.72</v>
      </c>
    </row>
    <row r="38" spans="1:4" x14ac:dyDescent="0.3">
      <c r="A38">
        <v>45.66</v>
      </c>
      <c r="B38">
        <v>13.99</v>
      </c>
      <c r="C38" s="1">
        <v>6.58</v>
      </c>
      <c r="D38" s="1">
        <v>134.91999999999999</v>
      </c>
    </row>
    <row r="39" spans="1:4" x14ac:dyDescent="0.3">
      <c r="A39">
        <v>46.69</v>
      </c>
      <c r="B39">
        <v>15.98</v>
      </c>
      <c r="C39" s="1">
        <v>6.26</v>
      </c>
      <c r="D39" s="1">
        <v>124.99</v>
      </c>
    </row>
    <row r="41" spans="1:4" x14ac:dyDescent="0.3">
      <c r="A41" t="s">
        <v>10</v>
      </c>
      <c r="B41" t="s">
        <v>11</v>
      </c>
      <c r="C41" s="1" t="s">
        <v>7</v>
      </c>
      <c r="D41" s="1" t="s">
        <v>2</v>
      </c>
    </row>
    <row r="42" spans="1:4" x14ac:dyDescent="0.3">
      <c r="A42">
        <v>39.520000000000003</v>
      </c>
      <c r="B42">
        <v>6.04</v>
      </c>
      <c r="C42" s="1">
        <v>9.27</v>
      </c>
      <c r="D42" s="1">
        <v>202.64</v>
      </c>
    </row>
    <row r="43" spans="1:4" x14ac:dyDescent="0.3">
      <c r="A43">
        <v>41.31</v>
      </c>
      <c r="B43">
        <v>7.01</v>
      </c>
      <c r="C43" s="1">
        <v>8.99</v>
      </c>
      <c r="D43" s="1">
        <v>187.21</v>
      </c>
    </row>
    <row r="44" spans="1:4" x14ac:dyDescent="0.3">
      <c r="A44">
        <v>39.9</v>
      </c>
      <c r="B44">
        <v>8.0299999999999994</v>
      </c>
      <c r="C44" s="1">
        <v>7.47</v>
      </c>
      <c r="D44" s="1">
        <v>195.83</v>
      </c>
    </row>
    <row r="45" spans="1:4" x14ac:dyDescent="0.3">
      <c r="A45">
        <v>39.869999999999997</v>
      </c>
      <c r="B45">
        <v>9.0500000000000007</v>
      </c>
      <c r="C45" s="1">
        <v>6.63</v>
      </c>
      <c r="D45" s="1">
        <v>190.1</v>
      </c>
    </row>
    <row r="46" spans="1:4" x14ac:dyDescent="0.3">
      <c r="A46">
        <v>39.69</v>
      </c>
      <c r="B46">
        <v>10.050000000000001</v>
      </c>
      <c r="C46" s="1">
        <v>5.77</v>
      </c>
      <c r="D46" s="1">
        <v>216.98</v>
      </c>
    </row>
    <row r="47" spans="1:4" x14ac:dyDescent="0.3">
      <c r="A47">
        <v>39.81</v>
      </c>
      <c r="B47">
        <v>12.08</v>
      </c>
      <c r="C47" s="1">
        <v>5.13</v>
      </c>
      <c r="D47" s="1">
        <v>196.33</v>
      </c>
    </row>
    <row r="48" spans="1:4" x14ac:dyDescent="0.3">
      <c r="A48">
        <v>40.020000000000003</v>
      </c>
      <c r="B48">
        <v>14.09</v>
      </c>
      <c r="C48" s="1">
        <v>4.6100000000000003</v>
      </c>
      <c r="D48" s="1">
        <v>183.76</v>
      </c>
    </row>
    <row r="49" spans="1:4" x14ac:dyDescent="0.3">
      <c r="A49">
        <v>40.85</v>
      </c>
      <c r="B49">
        <v>16.09</v>
      </c>
      <c r="C49" s="1">
        <v>4.3499999999999996</v>
      </c>
      <c r="D49" s="1">
        <v>160.51</v>
      </c>
    </row>
    <row r="51" spans="1:4" x14ac:dyDescent="0.3">
      <c r="A51" t="s">
        <v>10</v>
      </c>
      <c r="B51" t="s">
        <v>11</v>
      </c>
      <c r="C51" s="1" t="s">
        <v>7</v>
      </c>
      <c r="D51" s="1" t="s">
        <v>2</v>
      </c>
    </row>
    <row r="52" spans="1:4" x14ac:dyDescent="0.3">
      <c r="A52">
        <v>34.869999999999997</v>
      </c>
      <c r="B52">
        <v>6.15</v>
      </c>
      <c r="C52" s="1">
        <v>5.85</v>
      </c>
      <c r="D52" s="1">
        <v>277.14</v>
      </c>
    </row>
    <row r="53" spans="1:4" x14ac:dyDescent="0.3">
      <c r="A53">
        <v>36.21</v>
      </c>
      <c r="B53">
        <v>6.94</v>
      </c>
      <c r="C53" s="1">
        <v>6.2</v>
      </c>
      <c r="D53" s="1">
        <v>253.47</v>
      </c>
    </row>
    <row r="54" spans="1:4" x14ac:dyDescent="0.3">
      <c r="A54">
        <v>35.840000000000003</v>
      </c>
      <c r="B54">
        <v>8.11</v>
      </c>
      <c r="C54" s="1">
        <v>5.43</v>
      </c>
      <c r="D54" s="1">
        <v>250.96</v>
      </c>
    </row>
    <row r="55" spans="1:4" x14ac:dyDescent="0.3">
      <c r="A55">
        <v>34.46</v>
      </c>
      <c r="B55">
        <v>8.9600000000000009</v>
      </c>
      <c r="C55" s="1">
        <v>4.0199999999999996</v>
      </c>
      <c r="D55" s="1">
        <v>290.3</v>
      </c>
    </row>
    <row r="56" spans="1:4" x14ac:dyDescent="0.3">
      <c r="A56">
        <v>34.369999999999997</v>
      </c>
      <c r="B56">
        <v>10.14</v>
      </c>
      <c r="C56" s="1">
        <v>3.75</v>
      </c>
      <c r="D56" s="1">
        <v>293.14999999999998</v>
      </c>
    </row>
    <row r="57" spans="1:4" x14ac:dyDescent="0.3">
      <c r="A57">
        <v>35.74</v>
      </c>
      <c r="B57">
        <v>12.17</v>
      </c>
      <c r="C57" s="1">
        <v>3.62</v>
      </c>
      <c r="D57" s="1">
        <v>261.52</v>
      </c>
    </row>
    <row r="58" spans="1:4" x14ac:dyDescent="0.3">
      <c r="A58">
        <v>35.58</v>
      </c>
      <c r="B58">
        <v>14.18</v>
      </c>
      <c r="C58" s="1">
        <v>3.24</v>
      </c>
      <c r="D58" s="1">
        <v>249.53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all_values</vt:lpstr>
      <vt:lpstr>const_flow</vt:lpstr>
      <vt:lpstr>const_pr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Tapas Kumar Das</dc:creator>
  <cp:lastModifiedBy>Anon</cp:lastModifiedBy>
  <dcterms:created xsi:type="dcterms:W3CDTF">2015-06-05T18:17:20Z</dcterms:created>
  <dcterms:modified xsi:type="dcterms:W3CDTF">2023-06-20T05:00:23Z</dcterms:modified>
</cp:coreProperties>
</file>