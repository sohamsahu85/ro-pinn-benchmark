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mecht\Desktop\Data_DES_WEC\"/>
    </mc:Choice>
  </mc:AlternateContent>
  <xr:revisionPtr revIDLastSave="0" documentId="13_ncr:1_{199AC4F0-470C-4C7E-A225-D1981FD89E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ctified_sinusoida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4" l="1"/>
  <c r="J29" i="4"/>
  <c r="J30" i="4"/>
  <c r="J26" i="4"/>
  <c r="K26" i="4"/>
  <c r="J27" i="4"/>
  <c r="K27" i="4"/>
  <c r="J28" i="4"/>
  <c r="K28" i="4"/>
  <c r="K30" i="4"/>
  <c r="K21" i="4"/>
  <c r="J21" i="4"/>
  <c r="K20" i="4"/>
  <c r="J20" i="4"/>
  <c r="J22" i="4"/>
  <c r="K22" i="4"/>
  <c r="J23" i="4"/>
  <c r="K23" i="4"/>
  <c r="J24" i="4"/>
  <c r="K24" i="4"/>
  <c r="J18" i="4"/>
  <c r="J14" i="4"/>
  <c r="K14" i="4"/>
  <c r="J15" i="4"/>
  <c r="K15" i="4"/>
  <c r="J16" i="4"/>
  <c r="K16" i="4"/>
  <c r="J17" i="4"/>
  <c r="K17" i="4"/>
  <c r="K18" i="4"/>
  <c r="J8" i="4"/>
  <c r="K8" i="4"/>
  <c r="J9" i="4"/>
  <c r="K9" i="4"/>
  <c r="J10" i="4"/>
  <c r="K10" i="4"/>
  <c r="J11" i="4"/>
  <c r="K11" i="4"/>
  <c r="J12" i="4"/>
  <c r="K12" i="4"/>
  <c r="J2" i="4"/>
  <c r="K2" i="4"/>
  <c r="K6" i="4"/>
  <c r="J6" i="4"/>
  <c r="K5" i="4"/>
  <c r="J5" i="4"/>
  <c r="K4" i="4"/>
  <c r="J4" i="4"/>
  <c r="K3" i="4"/>
  <c r="J3" i="4"/>
</calcChain>
</file>

<file path=xl/sharedStrings.xml><?xml version="1.0" encoding="utf-8"?>
<sst xmlns="http://schemas.openxmlformats.org/spreadsheetml/2006/main" count="11" uniqueCount="11">
  <si>
    <t>Brine flow (L/min)</t>
  </si>
  <si>
    <t>Permeate flow (L/min)</t>
  </si>
  <si>
    <t>Feed flow (L/min)</t>
  </si>
  <si>
    <t>Feed pressure (Bar)</t>
  </si>
  <si>
    <t>Brine Pressure (Bar)</t>
  </si>
  <si>
    <t>Permeate salinity (ppm)</t>
  </si>
  <si>
    <t>Brine salinity (ppm)</t>
  </si>
  <si>
    <t>Temp (degree C)</t>
  </si>
  <si>
    <t>% recovery</t>
  </si>
  <si>
    <t>salt rejection</t>
  </si>
  <si>
    <t>Tp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</si>
</sst>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7D85-B21B-4854-BCD9-397CD5D72337}">
  <dimension ref="A1:K30"/>
  <sheetViews>
    <sheetView tabSelected="1" workbookViewId="0">
      <pane ySplit="1" topLeftCell="A2" activePane="bottomLeft" state="frozen"/>
      <selection pane="bottomLeft" activeCell="E22" sqref="E22"/>
    </sheetView>
  </sheetViews>
  <sheetFormatPr defaultRowHeight="14.4" x14ac:dyDescent="0.3"/>
  <cols>
    <col min="2" max="2" width="15.33203125" bestFit="1" customWidth="1"/>
    <col min="3" max="3" width="15.6640625" bestFit="1" customWidth="1"/>
    <col min="4" max="4" width="16.6640625" bestFit="1" customWidth="1"/>
    <col min="5" max="5" width="17" bestFit="1" customWidth="1"/>
    <col min="6" max="6" width="19.44140625" bestFit="1" customWidth="1"/>
    <col min="7" max="7" width="20.33203125" bestFit="1" customWidth="1"/>
    <col min="8" max="8" width="16.5546875" bestFit="1" customWidth="1"/>
    <col min="9" max="9" width="14.33203125" bestFit="1" customWidth="1"/>
    <col min="10" max="10" width="10" style="1" bestFit="1" customWidth="1"/>
    <col min="11" max="11" width="11.5546875" style="1" bestFit="1" customWidth="1"/>
  </cols>
  <sheetData>
    <row r="1" spans="1:11" x14ac:dyDescent="0.3">
      <c r="A1" t="s">
        <v>10</v>
      </c>
      <c r="B1" t="s">
        <v>2</v>
      </c>
      <c r="C1" t="s">
        <v>0</v>
      </c>
      <c r="D1" t="s">
        <v>3</v>
      </c>
      <c r="E1" t="s">
        <v>4</v>
      </c>
      <c r="F1" t="s">
        <v>1</v>
      </c>
      <c r="G1" t="s">
        <v>5</v>
      </c>
      <c r="H1" t="s">
        <v>6</v>
      </c>
      <c r="I1" t="s">
        <v>7</v>
      </c>
      <c r="J1" s="1" t="s">
        <v>8</v>
      </c>
      <c r="K1" s="1" t="s">
        <v>9</v>
      </c>
    </row>
    <row r="2" spans="1:11" x14ac:dyDescent="0.3">
      <c r="A2">
        <v>7.5</v>
      </c>
      <c r="B2">
        <v>10.039999999999999</v>
      </c>
      <c r="C2">
        <v>9.34</v>
      </c>
      <c r="D2">
        <v>39.54</v>
      </c>
      <c r="E2">
        <v>38.9</v>
      </c>
      <c r="F2">
        <v>0.82</v>
      </c>
      <c r="G2">
        <v>188.45</v>
      </c>
      <c r="H2">
        <v>37653</v>
      </c>
      <c r="I2">
        <v>25.44</v>
      </c>
      <c r="J2" s="1">
        <f t="shared" ref="J2" si="0">(F2/B2)*100</f>
        <v>8.1673306772908365</v>
      </c>
      <c r="K2" s="1">
        <f t="shared" ref="K2" si="1">(35000-G2)*100/35000</f>
        <v>99.461571428571446</v>
      </c>
    </row>
    <row r="3" spans="1:11" x14ac:dyDescent="0.3">
      <c r="A3">
        <v>10</v>
      </c>
      <c r="B3">
        <v>10.050000000000001</v>
      </c>
      <c r="C3">
        <v>9.35</v>
      </c>
      <c r="D3">
        <v>39.56</v>
      </c>
      <c r="E3">
        <v>38.9</v>
      </c>
      <c r="F3">
        <v>0.82</v>
      </c>
      <c r="G3">
        <v>190.46</v>
      </c>
      <c r="H3">
        <v>37826</v>
      </c>
      <c r="I3">
        <v>25.87</v>
      </c>
      <c r="J3" s="1">
        <f t="shared" ref="J3:J6" si="2">(F3/B3)*100</f>
        <v>8.1592039800995018</v>
      </c>
      <c r="K3" s="1">
        <f t="shared" ref="K3:K6" si="3">(35000-G3)*100/35000</f>
        <v>99.455828571428569</v>
      </c>
    </row>
    <row r="4" spans="1:11" x14ac:dyDescent="0.3">
      <c r="A4">
        <v>12.5</v>
      </c>
      <c r="B4">
        <v>10.08</v>
      </c>
      <c r="C4">
        <v>9.34</v>
      </c>
      <c r="D4">
        <v>39.74</v>
      </c>
      <c r="E4">
        <v>38.799999999999997</v>
      </c>
      <c r="F4">
        <v>0.83</v>
      </c>
      <c r="G4">
        <v>190.77</v>
      </c>
      <c r="H4">
        <v>37827</v>
      </c>
      <c r="I4">
        <v>26.12</v>
      </c>
      <c r="J4" s="1">
        <f t="shared" si="2"/>
        <v>8.2341269841269842</v>
      </c>
      <c r="K4" s="1">
        <f t="shared" si="3"/>
        <v>99.454942857142868</v>
      </c>
    </row>
    <row r="5" spans="1:11" x14ac:dyDescent="0.3">
      <c r="A5">
        <v>15</v>
      </c>
      <c r="B5">
        <v>10.06</v>
      </c>
      <c r="C5">
        <v>9.99</v>
      </c>
      <c r="D5">
        <v>39.380000000000003</v>
      </c>
      <c r="E5">
        <v>38.770000000000003</v>
      </c>
      <c r="F5">
        <v>0.83</v>
      </c>
      <c r="G5">
        <v>193.16</v>
      </c>
      <c r="H5">
        <v>37914</v>
      </c>
      <c r="I5">
        <v>26.45</v>
      </c>
      <c r="J5" s="1">
        <f t="shared" si="2"/>
        <v>8.2504970178926449</v>
      </c>
      <c r="K5" s="1">
        <f t="shared" si="3"/>
        <v>99.448114285714269</v>
      </c>
    </row>
    <row r="6" spans="1:11" x14ac:dyDescent="0.3">
      <c r="A6">
        <v>30</v>
      </c>
      <c r="B6">
        <v>9.9600000000000009</v>
      </c>
      <c r="C6">
        <v>9.32</v>
      </c>
      <c r="D6">
        <v>39.590000000000003</v>
      </c>
      <c r="E6">
        <v>38.840000000000003</v>
      </c>
      <c r="F6">
        <v>0.99</v>
      </c>
      <c r="G6">
        <v>195.35</v>
      </c>
      <c r="H6">
        <v>38245</v>
      </c>
      <c r="I6">
        <v>26.6</v>
      </c>
      <c r="J6" s="1">
        <f t="shared" si="2"/>
        <v>9.9397590361445776</v>
      </c>
      <c r="K6" s="1">
        <f t="shared" si="3"/>
        <v>99.441857142857145</v>
      </c>
    </row>
    <row r="8" spans="1:11" x14ac:dyDescent="0.3">
      <c r="A8">
        <v>7.5</v>
      </c>
      <c r="B8">
        <v>9.07</v>
      </c>
      <c r="C8">
        <v>8.3800000000000008</v>
      </c>
      <c r="D8">
        <v>39.57</v>
      </c>
      <c r="E8">
        <v>38.85</v>
      </c>
      <c r="F8">
        <v>0.81</v>
      </c>
      <c r="G8">
        <v>209.07</v>
      </c>
      <c r="H8">
        <v>38041</v>
      </c>
      <c r="I8">
        <v>26.34</v>
      </c>
      <c r="J8" s="1">
        <f t="shared" ref="J8:J12" si="4">(F8/B8)*100</f>
        <v>8.9305402425578819</v>
      </c>
      <c r="K8" s="1">
        <f t="shared" ref="K8:K12" si="5">(35000-G8)*100/35000</f>
        <v>99.402657142857137</v>
      </c>
    </row>
    <row r="9" spans="1:11" x14ac:dyDescent="0.3">
      <c r="A9">
        <v>10</v>
      </c>
      <c r="B9">
        <v>9.09</v>
      </c>
      <c r="C9">
        <v>8.4</v>
      </c>
      <c r="D9">
        <v>39.54</v>
      </c>
      <c r="E9">
        <v>39</v>
      </c>
      <c r="F9">
        <v>0.81</v>
      </c>
      <c r="G9">
        <v>201.26</v>
      </c>
      <c r="H9">
        <v>38081</v>
      </c>
      <c r="I9">
        <v>26.45</v>
      </c>
      <c r="J9" s="1">
        <f t="shared" si="4"/>
        <v>8.9108910891089117</v>
      </c>
      <c r="K9" s="1">
        <f t="shared" si="5"/>
        <v>99.424971428571425</v>
      </c>
    </row>
    <row r="10" spans="1:11" x14ac:dyDescent="0.3">
      <c r="A10">
        <v>12.5</v>
      </c>
      <c r="B10">
        <v>9.14</v>
      </c>
      <c r="C10">
        <v>8.4</v>
      </c>
      <c r="D10">
        <v>39.83</v>
      </c>
      <c r="E10">
        <v>39.03</v>
      </c>
      <c r="F10">
        <v>0.83</v>
      </c>
      <c r="G10">
        <v>199.33</v>
      </c>
      <c r="H10">
        <v>38153</v>
      </c>
      <c r="I10">
        <v>26.59</v>
      </c>
      <c r="J10" s="1">
        <f t="shared" si="4"/>
        <v>9.0809628008752732</v>
      </c>
      <c r="K10" s="1">
        <f t="shared" si="5"/>
        <v>99.430485714285709</v>
      </c>
    </row>
    <row r="11" spans="1:11" x14ac:dyDescent="0.3">
      <c r="A11">
        <v>15</v>
      </c>
      <c r="B11">
        <v>9.14</v>
      </c>
      <c r="C11">
        <v>8.4</v>
      </c>
      <c r="D11">
        <v>39.520000000000003</v>
      </c>
      <c r="E11">
        <v>39.020000000000003</v>
      </c>
      <c r="F11">
        <v>0.82</v>
      </c>
      <c r="G11">
        <v>198.34</v>
      </c>
      <c r="H11">
        <v>38151</v>
      </c>
      <c r="I11">
        <v>26.67</v>
      </c>
      <c r="J11" s="1">
        <f t="shared" si="4"/>
        <v>8.9715536105032818</v>
      </c>
      <c r="K11" s="1">
        <f t="shared" si="5"/>
        <v>99.433314285714303</v>
      </c>
    </row>
    <row r="12" spans="1:11" x14ac:dyDescent="0.3">
      <c r="A12">
        <v>30</v>
      </c>
      <c r="B12">
        <v>9</v>
      </c>
      <c r="C12">
        <v>8.36</v>
      </c>
      <c r="D12">
        <v>39.58</v>
      </c>
      <c r="E12">
        <v>38.96</v>
      </c>
      <c r="F12">
        <v>0.96</v>
      </c>
      <c r="G12">
        <v>207.59</v>
      </c>
      <c r="H12">
        <v>38575</v>
      </c>
      <c r="I12">
        <v>26.76</v>
      </c>
      <c r="J12" s="1">
        <f t="shared" si="4"/>
        <v>10.666666666666666</v>
      </c>
      <c r="K12" s="1">
        <f t="shared" si="5"/>
        <v>99.406885714285721</v>
      </c>
    </row>
    <row r="14" spans="1:11" x14ac:dyDescent="0.3">
      <c r="A14">
        <v>7.5</v>
      </c>
      <c r="B14">
        <v>8.07</v>
      </c>
      <c r="C14">
        <v>7.4</v>
      </c>
      <c r="D14">
        <v>39.520000000000003</v>
      </c>
      <c r="E14">
        <v>39.14</v>
      </c>
      <c r="F14">
        <v>0.78</v>
      </c>
      <c r="G14">
        <v>218.53</v>
      </c>
      <c r="H14">
        <v>38246</v>
      </c>
      <c r="I14">
        <v>26.05</v>
      </c>
      <c r="J14" s="1">
        <f t="shared" ref="J14:J18" si="6">(F14/B14)*100</f>
        <v>9.6654275092936803</v>
      </c>
      <c r="K14" s="1">
        <f t="shared" ref="K14:K18" si="7">(35000-G14)*100/35000</f>
        <v>99.375628571428578</v>
      </c>
    </row>
    <row r="15" spans="1:11" x14ac:dyDescent="0.3">
      <c r="A15">
        <v>10</v>
      </c>
      <c r="B15">
        <v>8.08</v>
      </c>
      <c r="C15">
        <v>7.4</v>
      </c>
      <c r="D15">
        <v>39.69</v>
      </c>
      <c r="E15">
        <v>39.25</v>
      </c>
      <c r="F15">
        <v>0.79</v>
      </c>
      <c r="G15">
        <v>218.09</v>
      </c>
      <c r="H15">
        <v>38257</v>
      </c>
      <c r="I15">
        <v>26.18</v>
      </c>
      <c r="J15" s="1">
        <f t="shared" si="6"/>
        <v>9.7772277227722775</v>
      </c>
      <c r="K15" s="1">
        <f t="shared" si="7"/>
        <v>99.376885714285734</v>
      </c>
    </row>
    <row r="16" spans="1:11" x14ac:dyDescent="0.3">
      <c r="A16">
        <v>12.5</v>
      </c>
      <c r="B16">
        <v>8.09</v>
      </c>
      <c r="C16">
        <v>7.38</v>
      </c>
      <c r="D16">
        <v>39.61</v>
      </c>
      <c r="E16">
        <v>39.19</v>
      </c>
      <c r="F16">
        <v>0.79</v>
      </c>
      <c r="G16">
        <v>209.51</v>
      </c>
      <c r="H16">
        <v>38348</v>
      </c>
      <c r="I16">
        <v>26.28</v>
      </c>
      <c r="J16" s="1">
        <f t="shared" si="6"/>
        <v>9.7651421508034613</v>
      </c>
      <c r="K16" s="1">
        <f t="shared" si="7"/>
        <v>99.401399999999995</v>
      </c>
    </row>
    <row r="17" spans="1:11" x14ac:dyDescent="0.3">
      <c r="A17">
        <v>15</v>
      </c>
      <c r="B17">
        <v>8.1300000000000008</v>
      </c>
      <c r="C17">
        <v>7.39</v>
      </c>
      <c r="D17">
        <v>39.58</v>
      </c>
      <c r="E17">
        <v>39.21</v>
      </c>
      <c r="F17">
        <v>0.79</v>
      </c>
      <c r="G17">
        <v>213.6</v>
      </c>
      <c r="H17">
        <v>38351</v>
      </c>
      <c r="I17">
        <v>26.36</v>
      </c>
      <c r="J17" s="1">
        <f t="shared" si="6"/>
        <v>9.7170971709717087</v>
      </c>
      <c r="K17" s="1">
        <f t="shared" si="7"/>
        <v>99.389714285714291</v>
      </c>
    </row>
    <row r="18" spans="1:11" x14ac:dyDescent="0.3">
      <c r="A18">
        <v>30</v>
      </c>
      <c r="B18">
        <v>7.91</v>
      </c>
      <c r="C18">
        <v>7.29</v>
      </c>
      <c r="D18">
        <v>39.17</v>
      </c>
      <c r="E18">
        <v>38.57</v>
      </c>
      <c r="F18">
        <v>0.89</v>
      </c>
      <c r="G18">
        <v>277.26</v>
      </c>
      <c r="H18">
        <v>38778</v>
      </c>
      <c r="I18">
        <v>26.42</v>
      </c>
      <c r="J18" s="1">
        <f t="shared" si="6"/>
        <v>11.25158027812895</v>
      </c>
      <c r="K18" s="1">
        <f t="shared" si="7"/>
        <v>99.207828571428578</v>
      </c>
    </row>
    <row r="20" spans="1:11" x14ac:dyDescent="0.3">
      <c r="A20">
        <v>7.5</v>
      </c>
      <c r="B20">
        <v>7.08</v>
      </c>
      <c r="C20">
        <v>6.42</v>
      </c>
      <c r="D20">
        <v>39.44</v>
      </c>
      <c r="E20">
        <v>39.049999999999997</v>
      </c>
      <c r="F20">
        <v>0.77</v>
      </c>
      <c r="G20">
        <v>312.77999999999997</v>
      </c>
      <c r="H20">
        <v>38390</v>
      </c>
      <c r="I20">
        <v>26.4</v>
      </c>
      <c r="J20" s="1">
        <f t="shared" ref="J20:J24" si="8">(F20/B20)*100</f>
        <v>10.875706214689265</v>
      </c>
      <c r="K20" s="1">
        <f t="shared" ref="K20:K24" si="9">(35000-G20)*100/35000</f>
        <v>99.106342857142863</v>
      </c>
    </row>
    <row r="21" spans="1:11" x14ac:dyDescent="0.3">
      <c r="A21">
        <v>10</v>
      </c>
      <c r="B21">
        <v>7.08</v>
      </c>
      <c r="C21">
        <v>6.4</v>
      </c>
      <c r="D21">
        <v>39.53</v>
      </c>
      <c r="E21">
        <v>39.200000000000003</v>
      </c>
      <c r="F21">
        <v>0.76</v>
      </c>
      <c r="G21">
        <v>311.45999999999998</v>
      </c>
      <c r="H21">
        <v>38366</v>
      </c>
      <c r="I21">
        <v>26.25</v>
      </c>
      <c r="J21" s="1">
        <f t="shared" si="8"/>
        <v>10.734463276836157</v>
      </c>
      <c r="K21" s="1">
        <f t="shared" si="9"/>
        <v>99.110114285714289</v>
      </c>
    </row>
    <row r="22" spans="1:11" x14ac:dyDescent="0.3">
      <c r="A22">
        <v>12.5</v>
      </c>
      <c r="B22">
        <v>7.04</v>
      </c>
      <c r="C22">
        <v>6.41</v>
      </c>
      <c r="D22">
        <v>39.549999999999997</v>
      </c>
      <c r="E22">
        <v>39.17</v>
      </c>
      <c r="F22">
        <v>0.78</v>
      </c>
      <c r="G22">
        <v>314.83</v>
      </c>
      <c r="H22">
        <v>38431</v>
      </c>
      <c r="I22">
        <v>26.64</v>
      </c>
      <c r="J22" s="1">
        <f t="shared" si="8"/>
        <v>11.079545454545455</v>
      </c>
      <c r="K22" s="1">
        <f t="shared" si="9"/>
        <v>99.100485714285711</v>
      </c>
    </row>
    <row r="23" spans="1:11" x14ac:dyDescent="0.3">
      <c r="A23">
        <v>15</v>
      </c>
      <c r="B23">
        <v>7.04</v>
      </c>
      <c r="C23">
        <v>6.4</v>
      </c>
      <c r="D23">
        <v>39.47</v>
      </c>
      <c r="E23">
        <v>39.19</v>
      </c>
      <c r="F23">
        <v>0.77</v>
      </c>
      <c r="G23">
        <v>313.14</v>
      </c>
      <c r="H23">
        <v>38461</v>
      </c>
      <c r="I23">
        <v>26.52</v>
      </c>
      <c r="J23" s="1">
        <f t="shared" si="8"/>
        <v>10.9375</v>
      </c>
      <c r="K23" s="1">
        <f t="shared" si="9"/>
        <v>99.105314285714286</v>
      </c>
    </row>
    <row r="24" spans="1:11" x14ac:dyDescent="0.3">
      <c r="A24">
        <v>30</v>
      </c>
      <c r="B24">
        <v>6.86</v>
      </c>
      <c r="C24">
        <v>6.38</v>
      </c>
      <c r="D24">
        <v>39.86</v>
      </c>
      <c r="E24">
        <v>39.409999999999997</v>
      </c>
      <c r="F24">
        <v>0.84</v>
      </c>
      <c r="G24">
        <v>322.49</v>
      </c>
      <c r="H24">
        <v>38853</v>
      </c>
      <c r="I24">
        <v>26.15</v>
      </c>
      <c r="J24" s="1">
        <f t="shared" si="8"/>
        <v>12.244897959183671</v>
      </c>
      <c r="K24" s="1">
        <f t="shared" si="9"/>
        <v>99.078599999999994</v>
      </c>
    </row>
    <row r="26" spans="1:11" x14ac:dyDescent="0.3">
      <c r="A26">
        <v>7.5</v>
      </c>
      <c r="B26">
        <v>6.02</v>
      </c>
      <c r="C26">
        <v>5.39</v>
      </c>
      <c r="D26">
        <v>39.78</v>
      </c>
      <c r="E26">
        <v>39.49</v>
      </c>
      <c r="F26">
        <v>0.73</v>
      </c>
      <c r="G26">
        <v>362.67</v>
      </c>
      <c r="H26">
        <v>38791</v>
      </c>
      <c r="I26">
        <v>25.85</v>
      </c>
      <c r="J26" s="1">
        <f t="shared" ref="J26:J28" si="10">(F26/B26)*100</f>
        <v>12.126245847176079</v>
      </c>
      <c r="K26" s="1">
        <f t="shared" ref="K26:K30" si="11">(35000-G26)*100/35000</f>
        <v>98.963800000000006</v>
      </c>
    </row>
    <row r="27" spans="1:11" x14ac:dyDescent="0.3">
      <c r="A27">
        <v>10</v>
      </c>
      <c r="B27">
        <v>6.04</v>
      </c>
      <c r="C27">
        <v>5.38</v>
      </c>
      <c r="D27">
        <v>39.89</v>
      </c>
      <c r="E27">
        <v>39.619999999999997</v>
      </c>
      <c r="F27">
        <v>0.73</v>
      </c>
      <c r="G27">
        <v>361.52</v>
      </c>
      <c r="H27">
        <v>38769</v>
      </c>
      <c r="I27">
        <v>25.8</v>
      </c>
      <c r="J27" s="1">
        <f t="shared" si="10"/>
        <v>12.086092715231787</v>
      </c>
      <c r="K27" s="1">
        <f t="shared" si="11"/>
        <v>98.96708571428573</v>
      </c>
    </row>
    <row r="28" spans="1:11" x14ac:dyDescent="0.3">
      <c r="A28">
        <v>12.5</v>
      </c>
      <c r="B28">
        <v>5.9</v>
      </c>
      <c r="C28">
        <v>5.36</v>
      </c>
      <c r="D28">
        <v>40.380000000000003</v>
      </c>
      <c r="E28">
        <v>40.090000000000003</v>
      </c>
      <c r="F28">
        <v>0.75</v>
      </c>
      <c r="G28">
        <v>392.79</v>
      </c>
      <c r="H28">
        <v>38839</v>
      </c>
      <c r="I28">
        <v>25.55</v>
      </c>
      <c r="J28" s="1">
        <f t="shared" si="10"/>
        <v>12.711864406779661</v>
      </c>
      <c r="K28" s="1">
        <f t="shared" si="11"/>
        <v>98.877742857142863</v>
      </c>
    </row>
    <row r="29" spans="1:11" x14ac:dyDescent="0.3">
      <c r="A29">
        <v>15</v>
      </c>
      <c r="B29">
        <v>5.88</v>
      </c>
      <c r="C29">
        <v>5.39</v>
      </c>
      <c r="D29">
        <v>40.72</v>
      </c>
      <c r="E29">
        <v>40.36</v>
      </c>
      <c r="F29">
        <v>0.76</v>
      </c>
      <c r="G29">
        <v>447.45</v>
      </c>
      <c r="H29">
        <v>38884</v>
      </c>
      <c r="I29">
        <v>25.38</v>
      </c>
      <c r="J29" s="1">
        <f t="shared" ref="J29:J30" si="12">(F29/B29)*100</f>
        <v>12.925170068027212</v>
      </c>
      <c r="K29" s="1">
        <f t="shared" si="11"/>
        <v>98.721571428571437</v>
      </c>
    </row>
    <row r="30" spans="1:11" x14ac:dyDescent="0.3">
      <c r="A30">
        <v>30</v>
      </c>
      <c r="B30">
        <v>5.99</v>
      </c>
      <c r="C30">
        <v>5.52</v>
      </c>
      <c r="D30">
        <v>38.65</v>
      </c>
      <c r="E30">
        <v>38.520000000000003</v>
      </c>
      <c r="F30">
        <v>0.78</v>
      </c>
      <c r="G30">
        <v>441.86</v>
      </c>
      <c r="H30">
        <v>38660</v>
      </c>
      <c r="I30">
        <v>25.4</v>
      </c>
      <c r="J30" s="1">
        <f t="shared" si="12"/>
        <v>13.02170283806344</v>
      </c>
      <c r="K30" s="1">
        <f t="shared" si="11"/>
        <v>98.737542857142856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rectified_sinusoidal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Tapas Kumar Das</dc:creator>
  <cp:lastModifiedBy>Anon</cp:lastModifiedBy>
  <dcterms:created xsi:type="dcterms:W3CDTF">2015-06-05T18:17:20Z</dcterms:created>
  <dcterms:modified xsi:type="dcterms:W3CDTF">2023-06-20T04:56:25Z</dcterms:modified>
</cp:coreProperties>
</file>