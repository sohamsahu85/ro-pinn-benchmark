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mecht\Desktop\Data_DES_WEC\"/>
    </mc:Choice>
  </mc:AlternateContent>
  <xr:revisionPtr revIDLastSave="0" documentId="13_ncr:1_{E9DC9035-C691-4CB2-A8AE-3FA567F002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n=8L_min" sheetId="1" r:id="rId1"/>
    <sheet name="Mean=10L_min" sheetId="3" r:id="rId2"/>
    <sheet name="Mean=12L_mi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4" l="1"/>
  <c r="L16" i="4"/>
  <c r="K17" i="4"/>
  <c r="L17" i="4"/>
  <c r="K18" i="4"/>
  <c r="L18" i="4"/>
  <c r="K19" i="4"/>
  <c r="L19" i="4"/>
  <c r="K4" i="4"/>
  <c r="L4" i="4"/>
  <c r="K5" i="4"/>
  <c r="L5" i="4"/>
  <c r="K6" i="4"/>
  <c r="L6" i="4"/>
  <c r="K7" i="4"/>
  <c r="L7" i="4"/>
  <c r="K9" i="4"/>
  <c r="L9" i="4"/>
  <c r="K10" i="4"/>
  <c r="L10" i="4"/>
  <c r="K11" i="4"/>
  <c r="L11" i="4"/>
  <c r="K12" i="4"/>
  <c r="L12" i="4"/>
  <c r="K13" i="4"/>
  <c r="L13" i="4"/>
  <c r="K15" i="4"/>
  <c r="L15" i="4"/>
  <c r="L3" i="4"/>
  <c r="K3" i="4"/>
  <c r="K4" i="3"/>
  <c r="L4" i="3"/>
  <c r="K5" i="3"/>
  <c r="L5" i="3"/>
  <c r="K6" i="3"/>
  <c r="L6" i="3"/>
  <c r="K7" i="3"/>
  <c r="L7" i="3"/>
  <c r="K9" i="3"/>
  <c r="L9" i="3"/>
  <c r="K10" i="3"/>
  <c r="L10" i="3"/>
  <c r="K11" i="3"/>
  <c r="L11" i="3"/>
  <c r="K12" i="3"/>
  <c r="L12" i="3"/>
  <c r="K13" i="3"/>
  <c r="L13" i="3"/>
  <c r="K15" i="3"/>
  <c r="L15" i="3"/>
  <c r="K16" i="3"/>
  <c r="L16" i="3"/>
  <c r="K17" i="3"/>
  <c r="L17" i="3"/>
  <c r="K18" i="3"/>
  <c r="L18" i="3"/>
  <c r="K19" i="3"/>
  <c r="L19" i="3"/>
  <c r="L3" i="3"/>
  <c r="K3" i="3"/>
  <c r="K9" i="1"/>
  <c r="L9" i="1"/>
  <c r="K10" i="1"/>
  <c r="L10" i="1"/>
  <c r="K11" i="1"/>
  <c r="L11" i="1"/>
  <c r="K12" i="1"/>
  <c r="L12" i="1"/>
  <c r="K13" i="1"/>
  <c r="L13" i="1"/>
  <c r="K15" i="1"/>
  <c r="L15" i="1"/>
  <c r="K16" i="1"/>
  <c r="L16" i="1"/>
  <c r="K17" i="1"/>
  <c r="L17" i="1"/>
  <c r="K18" i="1"/>
  <c r="L18" i="1"/>
  <c r="K19" i="1"/>
  <c r="L19" i="1"/>
  <c r="K6" i="1"/>
  <c r="L6" i="1"/>
  <c r="K7" i="1"/>
  <c r="L7" i="1"/>
  <c r="K5" i="1"/>
  <c r="L5" i="1"/>
  <c r="K4" i="1"/>
  <c r="L4" i="1"/>
  <c r="L3" i="1"/>
  <c r="K3" i="1"/>
</calcChain>
</file>

<file path=xl/sharedStrings.xml><?xml version="1.0" encoding="utf-8"?>
<sst xmlns="http://schemas.openxmlformats.org/spreadsheetml/2006/main" count="39" uniqueCount="13">
  <si>
    <t>Mean</t>
  </si>
  <si>
    <t>Brine flow (L/min)</t>
  </si>
  <si>
    <t>Permeate flow (L/min)</t>
  </si>
  <si>
    <t>Feed flow (L/min)</t>
  </si>
  <si>
    <t>Feed pressure (Bar)</t>
  </si>
  <si>
    <t>Brine Pressure (Bar)</t>
  </si>
  <si>
    <t>Permeate salinity (ppm)</t>
  </si>
  <si>
    <t>Brine salinity (ppm)</t>
  </si>
  <si>
    <t>Temp (degree C)</t>
  </si>
  <si>
    <t>% recovery</t>
  </si>
  <si>
    <t>salt rejection</t>
  </si>
  <si>
    <t>Amplitude (L/min)</t>
  </si>
  <si>
    <t>Tp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</si>
</sst>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F22" sqref="F22"/>
    </sheetView>
  </sheetViews>
  <sheetFormatPr defaultRowHeight="14.4" x14ac:dyDescent="0.3"/>
  <cols>
    <col min="1" max="1" width="15.5546875" bestFit="1" customWidth="1"/>
    <col min="3" max="3" width="15.33203125" bestFit="1" customWidth="1"/>
    <col min="4" max="4" width="15.6640625" bestFit="1" customWidth="1"/>
    <col min="5" max="5" width="16.88671875" customWidth="1"/>
    <col min="6" max="6" width="17" bestFit="1" customWidth="1"/>
    <col min="7" max="7" width="19.44140625" bestFit="1" customWidth="1"/>
    <col min="8" max="8" width="20.33203125" bestFit="1" customWidth="1"/>
    <col min="9" max="9" width="16.5546875" bestFit="1" customWidth="1"/>
    <col min="10" max="10" width="14.33203125" bestFit="1" customWidth="1"/>
    <col min="11" max="11" width="10.21875" style="1" customWidth="1"/>
    <col min="12" max="12" width="11.5546875" style="1" bestFit="1" customWidth="1"/>
  </cols>
  <sheetData>
    <row r="1" spans="1:12" x14ac:dyDescent="0.3">
      <c r="C1" s="2" t="s">
        <v>0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t="s">
        <v>11</v>
      </c>
      <c r="B2" t="s">
        <v>12</v>
      </c>
      <c r="C2" t="s">
        <v>3</v>
      </c>
      <c r="D2" t="s">
        <v>1</v>
      </c>
      <c r="E2" t="s">
        <v>4</v>
      </c>
      <c r="F2" t="s">
        <v>5</v>
      </c>
      <c r="G2" t="s">
        <v>2</v>
      </c>
      <c r="H2" t="s">
        <v>6</v>
      </c>
      <c r="I2" t="s">
        <v>7</v>
      </c>
      <c r="J2" t="s">
        <v>8</v>
      </c>
      <c r="K2" s="1" t="s">
        <v>9</v>
      </c>
      <c r="L2" s="1" t="s">
        <v>10</v>
      </c>
    </row>
    <row r="3" spans="1:12" x14ac:dyDescent="0.3">
      <c r="A3">
        <v>1</v>
      </c>
      <c r="B3">
        <v>7.5</v>
      </c>
      <c r="C3">
        <v>7.79</v>
      </c>
      <c r="D3">
        <v>6.63</v>
      </c>
      <c r="E3">
        <v>53.05</v>
      </c>
      <c r="F3">
        <v>52.52</v>
      </c>
      <c r="G3">
        <v>1.07</v>
      </c>
      <c r="H3">
        <v>122.26</v>
      </c>
      <c r="I3">
        <v>41126</v>
      </c>
      <c r="J3">
        <v>25.21</v>
      </c>
      <c r="K3" s="1">
        <f>(G3/C3)*100</f>
        <v>13.735558408215661</v>
      </c>
      <c r="L3" s="1">
        <f>(35000-H3)*100/35000</f>
        <v>99.650685714285714</v>
      </c>
    </row>
    <row r="4" spans="1:12" x14ac:dyDescent="0.3">
      <c r="A4">
        <v>1</v>
      </c>
      <c r="B4">
        <v>10</v>
      </c>
      <c r="C4">
        <v>7.8</v>
      </c>
      <c r="D4">
        <v>6.62</v>
      </c>
      <c r="E4">
        <v>52.92</v>
      </c>
      <c r="F4">
        <v>52.38</v>
      </c>
      <c r="G4">
        <v>1.07</v>
      </c>
      <c r="H4">
        <v>120.53</v>
      </c>
      <c r="I4">
        <v>41121</v>
      </c>
      <c r="J4">
        <v>25.34</v>
      </c>
      <c r="K4" s="1">
        <f>(G4/C4)*100</f>
        <v>13.717948717948719</v>
      </c>
      <c r="L4" s="1">
        <f>(35000-H4)*100/35000</f>
        <v>99.655628571428565</v>
      </c>
    </row>
    <row r="5" spans="1:12" x14ac:dyDescent="0.3">
      <c r="A5">
        <v>1</v>
      </c>
      <c r="B5">
        <v>12.5</v>
      </c>
      <c r="C5">
        <v>7.79</v>
      </c>
      <c r="D5">
        <v>6.63</v>
      </c>
      <c r="E5">
        <v>52.66</v>
      </c>
      <c r="F5">
        <v>52.17</v>
      </c>
      <c r="G5">
        <v>1.07</v>
      </c>
      <c r="H5">
        <v>120.23</v>
      </c>
      <c r="I5">
        <v>41087</v>
      </c>
      <c r="J5">
        <v>25.49</v>
      </c>
      <c r="K5" s="1">
        <f>(G5/C5)*100</f>
        <v>13.735558408215661</v>
      </c>
      <c r="L5" s="1">
        <f>(35000-H5)*100/35000</f>
        <v>99.656485714285708</v>
      </c>
    </row>
    <row r="6" spans="1:12" x14ac:dyDescent="0.3">
      <c r="A6">
        <v>1</v>
      </c>
      <c r="B6">
        <v>15</v>
      </c>
      <c r="C6">
        <v>7.8</v>
      </c>
      <c r="D6">
        <v>6.61</v>
      </c>
      <c r="E6">
        <v>53.1</v>
      </c>
      <c r="F6">
        <v>52.55</v>
      </c>
      <c r="G6">
        <v>1.0900000000000001</v>
      </c>
      <c r="H6">
        <v>119.63</v>
      </c>
      <c r="I6">
        <v>41215</v>
      </c>
      <c r="J6">
        <v>25.77</v>
      </c>
      <c r="K6" s="1">
        <f>(G6/C6)*100</f>
        <v>13.974358974358974</v>
      </c>
      <c r="L6" s="1">
        <f>(35000-H6)*100/35000</f>
        <v>99.658200000000008</v>
      </c>
    </row>
    <row r="7" spans="1:12" x14ac:dyDescent="0.3">
      <c r="A7">
        <v>1</v>
      </c>
      <c r="B7">
        <v>30</v>
      </c>
      <c r="C7">
        <v>7.8</v>
      </c>
      <c r="D7">
        <v>6.61</v>
      </c>
      <c r="E7">
        <v>53.04</v>
      </c>
      <c r="F7">
        <v>52.52</v>
      </c>
      <c r="G7">
        <v>1.0900000000000001</v>
      </c>
      <c r="H7">
        <v>118.4</v>
      </c>
      <c r="I7">
        <v>41167</v>
      </c>
      <c r="J7">
        <v>25.85</v>
      </c>
      <c r="K7" s="1">
        <f>(G7/C7)*100</f>
        <v>13.974358974358974</v>
      </c>
      <c r="L7" s="1">
        <f>(35000-H7)*100/35000</f>
        <v>99.661714285714282</v>
      </c>
    </row>
    <row r="9" spans="1:12" x14ac:dyDescent="0.3">
      <c r="A9">
        <v>2</v>
      </c>
      <c r="B9">
        <v>7.5</v>
      </c>
      <c r="C9">
        <v>7.91</v>
      </c>
      <c r="D9">
        <v>6.94</v>
      </c>
      <c r="E9">
        <v>47.23</v>
      </c>
      <c r="F9">
        <v>46.64</v>
      </c>
      <c r="G9">
        <v>0.85</v>
      </c>
      <c r="H9">
        <v>142.44</v>
      </c>
      <c r="I9">
        <v>40003</v>
      </c>
      <c r="J9">
        <v>25.97</v>
      </c>
      <c r="K9" s="1">
        <f t="shared" ref="K9:K19" si="0">(G9/C9)*100</f>
        <v>10.745891276864727</v>
      </c>
      <c r="L9" s="1">
        <f t="shared" ref="L9:L19" si="1">(35000-H9)*100/35000</f>
        <v>99.593028571428576</v>
      </c>
    </row>
    <row r="10" spans="1:12" x14ac:dyDescent="0.3">
      <c r="A10">
        <v>2</v>
      </c>
      <c r="B10">
        <v>10</v>
      </c>
      <c r="C10">
        <v>7.89</v>
      </c>
      <c r="D10">
        <v>6.94</v>
      </c>
      <c r="E10">
        <v>47.1</v>
      </c>
      <c r="F10">
        <v>46.61</v>
      </c>
      <c r="G10">
        <v>0.84</v>
      </c>
      <c r="H10">
        <v>140.74</v>
      </c>
      <c r="I10">
        <v>40000</v>
      </c>
      <c r="J10">
        <v>26.04</v>
      </c>
      <c r="K10" s="1">
        <f t="shared" si="0"/>
        <v>10.646387832699618</v>
      </c>
      <c r="L10" s="1">
        <f t="shared" si="1"/>
        <v>99.597885714285709</v>
      </c>
    </row>
    <row r="11" spans="1:12" x14ac:dyDescent="0.3">
      <c r="A11">
        <v>2</v>
      </c>
      <c r="B11">
        <v>12.5</v>
      </c>
      <c r="C11">
        <v>7.9</v>
      </c>
      <c r="D11">
        <v>6.94</v>
      </c>
      <c r="E11">
        <v>47</v>
      </c>
      <c r="F11">
        <v>46.62</v>
      </c>
      <c r="G11">
        <v>0.85</v>
      </c>
      <c r="H11">
        <v>139.56</v>
      </c>
      <c r="I11">
        <v>40001</v>
      </c>
      <c r="J11">
        <v>26.07</v>
      </c>
      <c r="K11" s="1">
        <f t="shared" si="0"/>
        <v>10.759493670886075</v>
      </c>
      <c r="L11" s="1">
        <f t="shared" si="1"/>
        <v>99.601257142857136</v>
      </c>
    </row>
    <row r="12" spans="1:12" x14ac:dyDescent="0.3">
      <c r="A12">
        <v>2</v>
      </c>
      <c r="B12">
        <v>15</v>
      </c>
      <c r="C12">
        <v>7.9</v>
      </c>
      <c r="D12">
        <v>6.94</v>
      </c>
      <c r="E12">
        <v>47.1</v>
      </c>
      <c r="F12">
        <v>46.59</v>
      </c>
      <c r="G12">
        <v>0.85</v>
      </c>
      <c r="H12">
        <v>140.34</v>
      </c>
      <c r="I12">
        <v>40044</v>
      </c>
      <c r="J12">
        <v>26.18</v>
      </c>
      <c r="K12" s="1">
        <f t="shared" si="0"/>
        <v>10.759493670886075</v>
      </c>
      <c r="L12" s="1">
        <f t="shared" si="1"/>
        <v>99.59902857142859</v>
      </c>
    </row>
    <row r="13" spans="1:12" x14ac:dyDescent="0.3">
      <c r="A13">
        <v>2</v>
      </c>
      <c r="B13">
        <v>30</v>
      </c>
      <c r="C13">
        <v>7.89</v>
      </c>
      <c r="D13">
        <v>6.93</v>
      </c>
      <c r="E13">
        <v>46.93</v>
      </c>
      <c r="F13">
        <v>46.43</v>
      </c>
      <c r="G13">
        <v>0.85</v>
      </c>
      <c r="H13">
        <v>139.22999999999999</v>
      </c>
      <c r="I13">
        <v>40003</v>
      </c>
      <c r="J13">
        <v>26.22</v>
      </c>
      <c r="K13" s="1">
        <f t="shared" si="0"/>
        <v>10.773130544993663</v>
      </c>
      <c r="L13" s="1">
        <f t="shared" si="1"/>
        <v>99.602199999999982</v>
      </c>
    </row>
    <row r="15" spans="1:12" x14ac:dyDescent="0.3">
      <c r="A15">
        <v>3</v>
      </c>
      <c r="B15">
        <v>7.5</v>
      </c>
      <c r="C15">
        <v>8.01</v>
      </c>
      <c r="D15">
        <v>7.29</v>
      </c>
      <c r="E15">
        <v>41.41</v>
      </c>
      <c r="F15">
        <v>40.909999999999997</v>
      </c>
      <c r="G15">
        <v>0.69</v>
      </c>
      <c r="H15">
        <v>181.37</v>
      </c>
      <c r="I15">
        <v>38883</v>
      </c>
      <c r="J15">
        <v>25.81</v>
      </c>
      <c r="K15" s="1">
        <f t="shared" si="0"/>
        <v>8.6142322097378283</v>
      </c>
      <c r="L15" s="1">
        <f t="shared" si="1"/>
        <v>99.481799999999993</v>
      </c>
    </row>
    <row r="16" spans="1:12" x14ac:dyDescent="0.3">
      <c r="A16">
        <v>3</v>
      </c>
      <c r="B16">
        <v>10</v>
      </c>
      <c r="C16">
        <v>8.0299999999999994</v>
      </c>
      <c r="D16">
        <v>7.3</v>
      </c>
      <c r="E16">
        <v>41.51</v>
      </c>
      <c r="F16">
        <v>40.93</v>
      </c>
      <c r="G16">
        <v>0.69</v>
      </c>
      <c r="H16">
        <v>178.69</v>
      </c>
      <c r="I16">
        <v>38867</v>
      </c>
      <c r="J16">
        <v>25.88</v>
      </c>
      <c r="K16" s="1">
        <f t="shared" si="0"/>
        <v>8.5927770859277697</v>
      </c>
      <c r="L16" s="1">
        <f t="shared" si="1"/>
        <v>99.489457142857148</v>
      </c>
    </row>
    <row r="17" spans="1:12" x14ac:dyDescent="0.3">
      <c r="A17">
        <v>3</v>
      </c>
      <c r="B17">
        <v>12.5</v>
      </c>
      <c r="C17">
        <v>8.0299999999999994</v>
      </c>
      <c r="D17">
        <v>7.3</v>
      </c>
      <c r="E17">
        <v>41.41</v>
      </c>
      <c r="F17">
        <v>40.92</v>
      </c>
      <c r="G17">
        <v>0.69</v>
      </c>
      <c r="H17">
        <v>177.41</v>
      </c>
      <c r="I17">
        <v>38919</v>
      </c>
      <c r="J17">
        <v>25.93</v>
      </c>
      <c r="K17" s="1">
        <f t="shared" si="0"/>
        <v>8.5927770859277697</v>
      </c>
      <c r="L17" s="1">
        <f t="shared" si="1"/>
        <v>99.49311428571427</v>
      </c>
    </row>
    <row r="18" spans="1:12" x14ac:dyDescent="0.3">
      <c r="A18">
        <v>3</v>
      </c>
      <c r="B18">
        <v>15</v>
      </c>
      <c r="C18">
        <v>8.01</v>
      </c>
      <c r="D18">
        <v>7.3</v>
      </c>
      <c r="E18">
        <v>41.31</v>
      </c>
      <c r="F18">
        <v>40.81</v>
      </c>
      <c r="G18">
        <v>0.68</v>
      </c>
      <c r="H18">
        <v>175.33</v>
      </c>
      <c r="I18">
        <v>38983</v>
      </c>
      <c r="J18">
        <v>26.01</v>
      </c>
      <c r="K18" s="1">
        <f t="shared" si="0"/>
        <v>8.4893882646691647</v>
      </c>
      <c r="L18" s="1">
        <f t="shared" si="1"/>
        <v>99.49905714285714</v>
      </c>
    </row>
    <row r="19" spans="1:12" x14ac:dyDescent="0.3">
      <c r="A19">
        <v>3</v>
      </c>
      <c r="B19">
        <v>30</v>
      </c>
      <c r="C19">
        <v>8.02</v>
      </c>
      <c r="D19">
        <v>7.3</v>
      </c>
      <c r="E19">
        <v>41.31</v>
      </c>
      <c r="F19">
        <v>40.799999999999997</v>
      </c>
      <c r="G19">
        <v>0.67</v>
      </c>
      <c r="H19">
        <v>181.68</v>
      </c>
      <c r="I19">
        <v>38831</v>
      </c>
      <c r="J19">
        <v>26.03</v>
      </c>
      <c r="K19" s="1">
        <f t="shared" si="0"/>
        <v>8.3541147132169584</v>
      </c>
      <c r="L19" s="1">
        <f t="shared" si="1"/>
        <v>99.480914285714292</v>
      </c>
    </row>
  </sheetData>
  <mergeCells count="1">
    <mergeCell ref="C1:L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0A80-ED37-4E6C-8FE0-4D4174A7A3BF}">
  <dimension ref="A1:L19"/>
  <sheetViews>
    <sheetView workbookViewId="0">
      <selection activeCell="A3" sqref="A3:A19"/>
    </sheetView>
  </sheetViews>
  <sheetFormatPr defaultRowHeight="14.4" x14ac:dyDescent="0.3"/>
  <cols>
    <col min="1" max="1" width="15.5546875" bestFit="1" customWidth="1"/>
    <col min="3" max="3" width="15.33203125" bestFit="1" customWidth="1"/>
    <col min="4" max="4" width="15.6640625" bestFit="1" customWidth="1"/>
    <col min="5" max="5" width="16.6640625" bestFit="1" customWidth="1"/>
    <col min="6" max="6" width="17" bestFit="1" customWidth="1"/>
    <col min="7" max="7" width="19.44140625" bestFit="1" customWidth="1"/>
    <col min="8" max="8" width="20.33203125" bestFit="1" customWidth="1"/>
    <col min="9" max="9" width="16.5546875" bestFit="1" customWidth="1"/>
    <col min="10" max="10" width="14.33203125" bestFit="1" customWidth="1"/>
    <col min="11" max="11" width="10" style="1" bestFit="1" customWidth="1"/>
    <col min="12" max="12" width="11.5546875" style="1" bestFit="1" customWidth="1"/>
  </cols>
  <sheetData>
    <row r="1" spans="1:12" x14ac:dyDescent="0.3">
      <c r="C1" s="2" t="s">
        <v>0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t="s">
        <v>11</v>
      </c>
      <c r="B2" t="s">
        <v>12</v>
      </c>
      <c r="C2" t="s">
        <v>3</v>
      </c>
      <c r="D2" t="s">
        <v>1</v>
      </c>
      <c r="E2" t="s">
        <v>4</v>
      </c>
      <c r="F2" t="s">
        <v>5</v>
      </c>
      <c r="G2" t="s">
        <v>2</v>
      </c>
      <c r="H2" t="s">
        <v>6</v>
      </c>
      <c r="I2" t="s">
        <v>7</v>
      </c>
      <c r="J2" t="s">
        <v>8</v>
      </c>
      <c r="K2" s="1" t="s">
        <v>9</v>
      </c>
      <c r="L2" s="1" t="s">
        <v>10</v>
      </c>
    </row>
    <row r="3" spans="1:12" x14ac:dyDescent="0.3">
      <c r="A3">
        <v>1</v>
      </c>
      <c r="B3">
        <v>7.5</v>
      </c>
      <c r="C3">
        <v>9.9499999999999993</v>
      </c>
      <c r="D3">
        <v>8.66</v>
      </c>
      <c r="E3">
        <v>54.79</v>
      </c>
      <c r="F3">
        <v>54.06</v>
      </c>
      <c r="G3">
        <v>1.19</v>
      </c>
      <c r="H3">
        <v>107.54</v>
      </c>
      <c r="I3">
        <v>40460</v>
      </c>
      <c r="J3">
        <v>25.26</v>
      </c>
      <c r="K3" s="1">
        <f>(G3/C3)*100</f>
        <v>11.959798994974875</v>
      </c>
      <c r="L3" s="1">
        <f>(35000-H3)*100/35000</f>
        <v>99.692742857142861</v>
      </c>
    </row>
    <row r="4" spans="1:12" x14ac:dyDescent="0.3">
      <c r="A4">
        <v>1</v>
      </c>
      <c r="B4">
        <v>10</v>
      </c>
      <c r="C4">
        <v>9.9600000000000009</v>
      </c>
      <c r="D4">
        <v>8.66</v>
      </c>
      <c r="E4">
        <v>54.58</v>
      </c>
      <c r="F4">
        <v>53.88</v>
      </c>
      <c r="G4">
        <v>1.19</v>
      </c>
      <c r="H4">
        <v>107.9</v>
      </c>
      <c r="I4">
        <v>40464</v>
      </c>
      <c r="J4">
        <v>25.73</v>
      </c>
      <c r="K4" s="1">
        <f t="shared" ref="K4:K19" si="0">(G4/C4)*100</f>
        <v>11.947791164658634</v>
      </c>
      <c r="L4" s="1">
        <f t="shared" ref="L4:L19" si="1">(35000-H4)*100/35000</f>
        <v>99.691714285714284</v>
      </c>
    </row>
    <row r="5" spans="1:12" x14ac:dyDescent="0.3">
      <c r="A5">
        <v>1</v>
      </c>
      <c r="B5">
        <v>12.5</v>
      </c>
      <c r="C5">
        <v>9.94</v>
      </c>
      <c r="D5">
        <v>8.65</v>
      </c>
      <c r="E5">
        <v>54.22</v>
      </c>
      <c r="F5">
        <v>53.53</v>
      </c>
      <c r="G5">
        <v>1.19</v>
      </c>
      <c r="H5">
        <v>108.85</v>
      </c>
      <c r="I5">
        <v>40444</v>
      </c>
      <c r="J5">
        <v>26.08</v>
      </c>
      <c r="K5" s="1">
        <f t="shared" si="0"/>
        <v>11.971830985915494</v>
      </c>
      <c r="L5" s="1">
        <f t="shared" si="1"/>
        <v>99.688999999999993</v>
      </c>
    </row>
    <row r="6" spans="1:12" x14ac:dyDescent="0.3">
      <c r="A6">
        <v>1</v>
      </c>
      <c r="B6">
        <v>15</v>
      </c>
      <c r="C6">
        <v>9.9499999999999993</v>
      </c>
      <c r="D6">
        <v>8.65</v>
      </c>
      <c r="E6">
        <v>53.77</v>
      </c>
      <c r="F6">
        <v>53.06</v>
      </c>
      <c r="G6">
        <v>1.2</v>
      </c>
      <c r="H6">
        <v>111.8</v>
      </c>
      <c r="I6">
        <v>40475</v>
      </c>
      <c r="J6">
        <v>26.96</v>
      </c>
      <c r="K6" s="1">
        <f t="shared" si="0"/>
        <v>12.060301507537689</v>
      </c>
      <c r="L6" s="1">
        <f t="shared" si="1"/>
        <v>99.680571428571412</v>
      </c>
    </row>
    <row r="7" spans="1:12" x14ac:dyDescent="0.3">
      <c r="A7">
        <v>1</v>
      </c>
      <c r="B7">
        <v>30</v>
      </c>
      <c r="C7">
        <v>9.9600000000000009</v>
      </c>
      <c r="D7">
        <v>8.66</v>
      </c>
      <c r="E7">
        <v>54.04</v>
      </c>
      <c r="F7">
        <v>53.35</v>
      </c>
      <c r="G7">
        <v>1.2</v>
      </c>
      <c r="H7">
        <v>109.86</v>
      </c>
      <c r="I7">
        <v>40465</v>
      </c>
      <c r="J7">
        <v>26.69</v>
      </c>
      <c r="K7" s="1">
        <f t="shared" si="0"/>
        <v>12.048192771084336</v>
      </c>
      <c r="L7" s="1">
        <f t="shared" si="1"/>
        <v>99.686114285714282</v>
      </c>
    </row>
    <row r="9" spans="1:12" x14ac:dyDescent="0.3">
      <c r="A9">
        <v>2</v>
      </c>
      <c r="B9">
        <v>7.5</v>
      </c>
      <c r="C9">
        <v>10.06</v>
      </c>
      <c r="D9">
        <v>8.9600000000000009</v>
      </c>
      <c r="E9">
        <v>49.03</v>
      </c>
      <c r="F9">
        <v>49.03</v>
      </c>
      <c r="G9">
        <v>1</v>
      </c>
      <c r="H9">
        <v>125.07</v>
      </c>
      <c r="I9">
        <v>39606</v>
      </c>
      <c r="J9">
        <v>26.55</v>
      </c>
      <c r="K9" s="1">
        <f t="shared" si="0"/>
        <v>9.9403578528827037</v>
      </c>
      <c r="L9" s="1">
        <f t="shared" si="1"/>
        <v>99.642657142857146</v>
      </c>
    </row>
    <row r="10" spans="1:12" x14ac:dyDescent="0.3">
      <c r="A10">
        <v>2</v>
      </c>
      <c r="B10">
        <v>10</v>
      </c>
      <c r="C10">
        <v>10.08</v>
      </c>
      <c r="D10">
        <v>8.9700000000000006</v>
      </c>
      <c r="E10">
        <v>49.01</v>
      </c>
      <c r="F10">
        <v>48.2</v>
      </c>
      <c r="G10">
        <v>1.0067999999999999</v>
      </c>
      <c r="H10">
        <v>124.89</v>
      </c>
      <c r="I10">
        <v>39647</v>
      </c>
      <c r="J10">
        <v>26.9</v>
      </c>
      <c r="K10" s="1">
        <f t="shared" si="0"/>
        <v>9.9880952380952372</v>
      </c>
      <c r="L10" s="1">
        <f t="shared" si="1"/>
        <v>99.643171428571435</v>
      </c>
    </row>
    <row r="11" spans="1:12" x14ac:dyDescent="0.3">
      <c r="A11">
        <v>2</v>
      </c>
      <c r="B11">
        <v>12.5</v>
      </c>
      <c r="C11">
        <v>10.07</v>
      </c>
      <c r="D11">
        <v>8.9700000000000006</v>
      </c>
      <c r="E11">
        <v>48.89</v>
      </c>
      <c r="F11">
        <v>48.11</v>
      </c>
      <c r="G11">
        <v>1.006</v>
      </c>
      <c r="H11">
        <v>125.82</v>
      </c>
      <c r="I11">
        <v>39673</v>
      </c>
      <c r="J11">
        <v>27.05</v>
      </c>
      <c r="K11" s="1">
        <f t="shared" si="0"/>
        <v>9.9900695134061568</v>
      </c>
      <c r="L11" s="1">
        <f t="shared" si="1"/>
        <v>99.640514285714289</v>
      </c>
    </row>
    <row r="12" spans="1:12" x14ac:dyDescent="0.3">
      <c r="A12">
        <v>2</v>
      </c>
      <c r="B12">
        <v>15</v>
      </c>
      <c r="C12">
        <v>10.07</v>
      </c>
      <c r="D12">
        <v>8.9700000000000006</v>
      </c>
      <c r="E12">
        <v>48.81</v>
      </c>
      <c r="F12">
        <v>48.04</v>
      </c>
      <c r="G12">
        <v>1.008</v>
      </c>
      <c r="H12">
        <v>127.03</v>
      </c>
      <c r="I12">
        <v>39636</v>
      </c>
      <c r="J12">
        <v>27.17</v>
      </c>
      <c r="K12" s="1">
        <f t="shared" si="0"/>
        <v>10.009930486593843</v>
      </c>
      <c r="L12" s="1">
        <f t="shared" si="1"/>
        <v>99.637057142857145</v>
      </c>
    </row>
    <row r="13" spans="1:12" x14ac:dyDescent="0.3">
      <c r="A13">
        <v>2</v>
      </c>
      <c r="B13">
        <v>30</v>
      </c>
      <c r="C13">
        <v>10.08</v>
      </c>
      <c r="D13">
        <v>8.9700000000000006</v>
      </c>
      <c r="E13">
        <v>48.8</v>
      </c>
      <c r="F13">
        <v>48.08</v>
      </c>
      <c r="G13">
        <v>1.01</v>
      </c>
      <c r="H13">
        <v>122.9</v>
      </c>
      <c r="I13">
        <v>39494</v>
      </c>
      <c r="J13">
        <v>27.28</v>
      </c>
      <c r="K13" s="1">
        <f t="shared" si="0"/>
        <v>10.019841269841271</v>
      </c>
      <c r="L13" s="1">
        <f t="shared" si="1"/>
        <v>99.648857142857139</v>
      </c>
    </row>
    <row r="15" spans="1:12" x14ac:dyDescent="0.3">
      <c r="A15">
        <v>3</v>
      </c>
      <c r="B15">
        <v>7.5</v>
      </c>
      <c r="C15">
        <v>9.99</v>
      </c>
      <c r="D15">
        <v>9.14</v>
      </c>
      <c r="E15">
        <v>43.33</v>
      </c>
      <c r="F15">
        <v>43.62</v>
      </c>
      <c r="G15">
        <v>0.77</v>
      </c>
      <c r="H15">
        <v>155.85</v>
      </c>
      <c r="I15">
        <v>38753</v>
      </c>
      <c r="J15">
        <v>26.82</v>
      </c>
      <c r="K15" s="1">
        <f t="shared" si="0"/>
        <v>7.7077077077077076</v>
      </c>
      <c r="L15" s="1">
        <f t="shared" si="1"/>
        <v>99.554714285714283</v>
      </c>
    </row>
    <row r="16" spans="1:12" x14ac:dyDescent="0.3">
      <c r="A16">
        <v>3</v>
      </c>
      <c r="B16">
        <v>10</v>
      </c>
      <c r="C16">
        <v>10.029999999999999</v>
      </c>
      <c r="D16">
        <v>9.16</v>
      </c>
      <c r="E16">
        <v>43.47</v>
      </c>
      <c r="F16">
        <v>43.68</v>
      </c>
      <c r="G16">
        <v>0.77</v>
      </c>
      <c r="H16">
        <v>154.9</v>
      </c>
      <c r="I16">
        <v>38813</v>
      </c>
      <c r="J16">
        <v>26.92</v>
      </c>
      <c r="K16" s="1">
        <f t="shared" si="0"/>
        <v>7.6769690927218344</v>
      </c>
      <c r="L16" s="1">
        <f t="shared" si="1"/>
        <v>99.557428571428574</v>
      </c>
    </row>
    <row r="17" spans="1:12" x14ac:dyDescent="0.3">
      <c r="A17">
        <v>3</v>
      </c>
      <c r="B17">
        <v>12.5</v>
      </c>
      <c r="C17">
        <v>10</v>
      </c>
      <c r="D17">
        <v>9.15</v>
      </c>
      <c r="E17">
        <v>43.24</v>
      </c>
      <c r="F17">
        <v>42.54</v>
      </c>
      <c r="G17">
        <v>0.76</v>
      </c>
      <c r="H17">
        <v>153.07</v>
      </c>
      <c r="I17">
        <v>38823</v>
      </c>
      <c r="J17">
        <v>26.88</v>
      </c>
      <c r="K17" s="1">
        <f t="shared" si="0"/>
        <v>7.6</v>
      </c>
      <c r="L17" s="1">
        <f t="shared" si="1"/>
        <v>99.562657142857148</v>
      </c>
    </row>
    <row r="18" spans="1:12" x14ac:dyDescent="0.3">
      <c r="A18">
        <v>3</v>
      </c>
      <c r="B18">
        <v>15</v>
      </c>
      <c r="C18">
        <v>10</v>
      </c>
      <c r="D18">
        <v>9.15</v>
      </c>
      <c r="E18">
        <v>43.2</v>
      </c>
      <c r="F18">
        <v>42.53</v>
      </c>
      <c r="G18">
        <v>0.76</v>
      </c>
      <c r="H18">
        <v>153.03</v>
      </c>
      <c r="I18">
        <v>38789</v>
      </c>
      <c r="J18">
        <v>26.96</v>
      </c>
      <c r="K18" s="1">
        <f t="shared" si="0"/>
        <v>7.6</v>
      </c>
      <c r="L18" s="1">
        <f t="shared" si="1"/>
        <v>99.562771428571423</v>
      </c>
    </row>
    <row r="19" spans="1:12" x14ac:dyDescent="0.3">
      <c r="A19">
        <v>3</v>
      </c>
      <c r="B19">
        <v>30</v>
      </c>
      <c r="C19">
        <v>10</v>
      </c>
      <c r="D19">
        <v>9.15</v>
      </c>
      <c r="E19">
        <v>43.19</v>
      </c>
      <c r="F19">
        <v>42.5</v>
      </c>
      <c r="G19">
        <v>0.75</v>
      </c>
      <c r="H19">
        <v>158.16</v>
      </c>
      <c r="I19">
        <v>38637</v>
      </c>
      <c r="J19">
        <v>26.93</v>
      </c>
      <c r="K19" s="1">
        <f t="shared" si="0"/>
        <v>7.5</v>
      </c>
      <c r="L19" s="1">
        <f t="shared" si="1"/>
        <v>99.548114285714277</v>
      </c>
    </row>
  </sheetData>
  <mergeCells count="1">
    <mergeCell ref="C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8233-4F0D-4366-A453-E516AD57BA85}">
  <dimension ref="A1:L19"/>
  <sheetViews>
    <sheetView workbookViewId="0">
      <selection activeCell="F25" sqref="F25"/>
    </sheetView>
  </sheetViews>
  <sheetFormatPr defaultRowHeight="14.4" x14ac:dyDescent="0.3"/>
  <cols>
    <col min="1" max="1" width="15.5546875" bestFit="1" customWidth="1"/>
    <col min="2" max="2" width="7.21875" bestFit="1" customWidth="1"/>
    <col min="3" max="3" width="15.33203125" bestFit="1" customWidth="1"/>
    <col min="4" max="4" width="15.6640625" bestFit="1" customWidth="1"/>
    <col min="5" max="5" width="16.6640625" bestFit="1" customWidth="1"/>
    <col min="6" max="6" width="17" bestFit="1" customWidth="1"/>
    <col min="7" max="7" width="19.44140625" bestFit="1" customWidth="1"/>
    <col min="8" max="8" width="20.33203125" bestFit="1" customWidth="1"/>
    <col min="9" max="9" width="16.5546875" bestFit="1" customWidth="1"/>
    <col min="10" max="10" width="14.33203125" bestFit="1" customWidth="1"/>
    <col min="11" max="11" width="10" style="1" bestFit="1" customWidth="1"/>
    <col min="12" max="12" width="11.5546875" style="1" bestFit="1" customWidth="1"/>
  </cols>
  <sheetData>
    <row r="1" spans="1:12" x14ac:dyDescent="0.3">
      <c r="C1" s="2" t="s">
        <v>0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t="s">
        <v>11</v>
      </c>
      <c r="B2" t="s">
        <v>12</v>
      </c>
      <c r="C2" t="s">
        <v>3</v>
      </c>
      <c r="D2" t="s">
        <v>1</v>
      </c>
      <c r="E2" t="s">
        <v>4</v>
      </c>
      <c r="F2" t="s">
        <v>5</v>
      </c>
      <c r="G2" t="s">
        <v>2</v>
      </c>
      <c r="H2" t="s">
        <v>6</v>
      </c>
      <c r="I2" t="s">
        <v>7</v>
      </c>
      <c r="J2" t="s">
        <v>8</v>
      </c>
      <c r="K2" s="1" t="s">
        <v>9</v>
      </c>
      <c r="L2" s="1" t="s">
        <v>10</v>
      </c>
    </row>
    <row r="3" spans="1:12" x14ac:dyDescent="0.3">
      <c r="A3">
        <v>1</v>
      </c>
      <c r="B3">
        <v>7.5</v>
      </c>
      <c r="C3">
        <v>11.77</v>
      </c>
      <c r="D3">
        <v>10.4</v>
      </c>
      <c r="E3">
        <v>55.11</v>
      </c>
      <c r="F3">
        <v>54.25</v>
      </c>
      <c r="G3">
        <v>1.28</v>
      </c>
      <c r="H3">
        <v>101.36</v>
      </c>
      <c r="I3">
        <v>39852</v>
      </c>
      <c r="J3">
        <v>26.27</v>
      </c>
      <c r="K3" s="1">
        <f>(G3/C3)*100</f>
        <v>10.875106202209006</v>
      </c>
      <c r="L3" s="1">
        <f>(35000-H3)*100/35000</f>
        <v>99.710400000000007</v>
      </c>
    </row>
    <row r="4" spans="1:12" x14ac:dyDescent="0.3">
      <c r="A4">
        <v>1</v>
      </c>
      <c r="B4">
        <v>10</v>
      </c>
      <c r="C4">
        <v>11.77</v>
      </c>
      <c r="D4">
        <v>10.4</v>
      </c>
      <c r="E4">
        <v>54.9</v>
      </c>
      <c r="F4">
        <v>54.04</v>
      </c>
      <c r="G4">
        <v>1.27</v>
      </c>
      <c r="H4">
        <v>101.2</v>
      </c>
      <c r="I4">
        <v>39843</v>
      </c>
      <c r="J4">
        <v>26.66</v>
      </c>
      <c r="K4" s="1">
        <f t="shared" ref="K4:K15" si="0">(G4/C4)*100</f>
        <v>10.790144435004247</v>
      </c>
      <c r="L4" s="1">
        <f t="shared" ref="L4:L15" si="1">(35000-H4)*100/35000</f>
        <v>99.710857142857151</v>
      </c>
    </row>
    <row r="5" spans="1:12" x14ac:dyDescent="0.3">
      <c r="A5">
        <v>1</v>
      </c>
      <c r="B5">
        <v>12.5</v>
      </c>
      <c r="C5">
        <v>11.78</v>
      </c>
      <c r="D5">
        <v>10.4</v>
      </c>
      <c r="E5">
        <v>54.8</v>
      </c>
      <c r="F5">
        <v>53.9</v>
      </c>
      <c r="G5">
        <v>1.28</v>
      </c>
      <c r="H5">
        <v>102.6</v>
      </c>
      <c r="I5">
        <v>39856</v>
      </c>
      <c r="J5">
        <v>27.08</v>
      </c>
      <c r="K5" s="1">
        <f t="shared" si="0"/>
        <v>10.865874363327675</v>
      </c>
      <c r="L5" s="1">
        <f t="shared" si="1"/>
        <v>99.706857142857146</v>
      </c>
    </row>
    <row r="6" spans="1:12" x14ac:dyDescent="0.3">
      <c r="A6">
        <v>1</v>
      </c>
      <c r="B6">
        <v>15</v>
      </c>
      <c r="C6">
        <v>11.77</v>
      </c>
      <c r="D6">
        <v>10.38</v>
      </c>
      <c r="E6">
        <v>54.58</v>
      </c>
      <c r="F6">
        <v>53.71</v>
      </c>
      <c r="G6">
        <v>1.28</v>
      </c>
      <c r="H6">
        <v>103.9</v>
      </c>
      <c r="I6">
        <v>39888</v>
      </c>
      <c r="J6">
        <v>27.33</v>
      </c>
      <c r="K6" s="1">
        <f t="shared" si="0"/>
        <v>10.875106202209006</v>
      </c>
      <c r="L6" s="1">
        <f t="shared" si="1"/>
        <v>99.703142857142851</v>
      </c>
    </row>
    <row r="7" spans="1:12" x14ac:dyDescent="0.3">
      <c r="A7">
        <v>1</v>
      </c>
      <c r="B7">
        <v>30</v>
      </c>
      <c r="C7">
        <v>11.78</v>
      </c>
      <c r="D7">
        <v>10.39</v>
      </c>
      <c r="E7">
        <v>54.44</v>
      </c>
      <c r="F7">
        <v>53.56</v>
      </c>
      <c r="G7">
        <v>1.29</v>
      </c>
      <c r="H7">
        <v>103.94</v>
      </c>
      <c r="I7">
        <v>39848</v>
      </c>
      <c r="J7">
        <v>27.65</v>
      </c>
      <c r="K7" s="1">
        <f t="shared" si="0"/>
        <v>10.950764006791172</v>
      </c>
      <c r="L7" s="1">
        <f t="shared" si="1"/>
        <v>99.703028571428575</v>
      </c>
    </row>
    <row r="9" spans="1:12" x14ac:dyDescent="0.3">
      <c r="A9">
        <v>2</v>
      </c>
      <c r="B9">
        <v>7.5</v>
      </c>
      <c r="C9">
        <v>11.87</v>
      </c>
      <c r="D9">
        <v>10.7</v>
      </c>
      <c r="E9">
        <v>49.52</v>
      </c>
      <c r="F9">
        <v>48.63</v>
      </c>
      <c r="G9">
        <v>1.08</v>
      </c>
      <c r="H9">
        <v>120.88</v>
      </c>
      <c r="I9">
        <v>39168</v>
      </c>
      <c r="J9">
        <v>27.75</v>
      </c>
      <c r="K9" s="1">
        <f t="shared" si="0"/>
        <v>9.0985678180286449</v>
      </c>
      <c r="L9" s="1">
        <f t="shared" si="1"/>
        <v>99.654628571428589</v>
      </c>
    </row>
    <row r="10" spans="1:12" x14ac:dyDescent="0.3">
      <c r="A10">
        <v>2</v>
      </c>
      <c r="B10">
        <v>10</v>
      </c>
      <c r="C10">
        <v>11.87</v>
      </c>
      <c r="D10">
        <v>10.7</v>
      </c>
      <c r="E10">
        <v>49.49</v>
      </c>
      <c r="F10">
        <v>48.62</v>
      </c>
      <c r="G10">
        <v>1.08</v>
      </c>
      <c r="H10">
        <v>120.51</v>
      </c>
      <c r="I10">
        <v>39192</v>
      </c>
      <c r="J10">
        <v>27.81</v>
      </c>
      <c r="K10" s="1">
        <f t="shared" si="0"/>
        <v>9.0985678180286449</v>
      </c>
      <c r="L10" s="1">
        <f t="shared" si="1"/>
        <v>99.65568571428571</v>
      </c>
    </row>
    <row r="11" spans="1:12" x14ac:dyDescent="0.3">
      <c r="A11">
        <v>2</v>
      </c>
      <c r="B11">
        <v>12.5</v>
      </c>
      <c r="C11">
        <v>11.86</v>
      </c>
      <c r="D11">
        <v>10.7</v>
      </c>
      <c r="E11">
        <v>49.38</v>
      </c>
      <c r="F11">
        <v>48.5</v>
      </c>
      <c r="G11">
        <v>1.07</v>
      </c>
      <c r="H11">
        <v>121.95</v>
      </c>
      <c r="I11">
        <v>39152</v>
      </c>
      <c r="J11">
        <v>27.88</v>
      </c>
      <c r="K11" s="1">
        <f t="shared" si="0"/>
        <v>9.0219224283305248</v>
      </c>
      <c r="L11" s="1">
        <f t="shared" si="1"/>
        <v>99.651571428571444</v>
      </c>
    </row>
    <row r="12" spans="1:12" x14ac:dyDescent="0.3">
      <c r="A12">
        <v>2</v>
      </c>
      <c r="B12">
        <v>15</v>
      </c>
      <c r="C12">
        <v>11.87</v>
      </c>
      <c r="D12">
        <v>10.7</v>
      </c>
      <c r="E12">
        <v>49.41</v>
      </c>
      <c r="F12">
        <v>48.45</v>
      </c>
      <c r="G12">
        <v>1.08</v>
      </c>
      <c r="H12">
        <v>122.2</v>
      </c>
      <c r="I12">
        <v>39174</v>
      </c>
      <c r="J12">
        <v>27.99</v>
      </c>
      <c r="K12" s="1">
        <f t="shared" si="0"/>
        <v>9.0985678180286449</v>
      </c>
      <c r="L12" s="1">
        <f t="shared" si="1"/>
        <v>99.650857142857163</v>
      </c>
    </row>
    <row r="13" spans="1:12" x14ac:dyDescent="0.3">
      <c r="A13">
        <v>2</v>
      </c>
      <c r="B13">
        <v>30</v>
      </c>
      <c r="C13">
        <v>11.86</v>
      </c>
      <c r="D13">
        <v>10.7</v>
      </c>
      <c r="E13">
        <v>49.3</v>
      </c>
      <c r="F13">
        <v>48.4</v>
      </c>
      <c r="G13">
        <v>1.08</v>
      </c>
      <c r="H13">
        <v>118.48</v>
      </c>
      <c r="I13">
        <v>39127</v>
      </c>
      <c r="J13">
        <v>28.04</v>
      </c>
      <c r="K13" s="1">
        <f t="shared" si="0"/>
        <v>9.1062394603709969</v>
      </c>
      <c r="L13" s="1">
        <f t="shared" si="1"/>
        <v>99.661485714285703</v>
      </c>
    </row>
    <row r="15" spans="1:12" x14ac:dyDescent="0.3">
      <c r="A15">
        <v>3</v>
      </c>
      <c r="B15">
        <v>7.5</v>
      </c>
      <c r="C15">
        <v>11.95</v>
      </c>
      <c r="D15">
        <v>10.94</v>
      </c>
      <c r="E15">
        <v>46.6</v>
      </c>
      <c r="F15">
        <v>45.65</v>
      </c>
      <c r="G15">
        <v>0.92</v>
      </c>
      <c r="H15">
        <v>136.72</v>
      </c>
      <c r="I15">
        <v>38724</v>
      </c>
      <c r="J15">
        <v>26.95</v>
      </c>
      <c r="K15" s="1">
        <f t="shared" si="0"/>
        <v>7.6987447698744766</v>
      </c>
      <c r="L15" s="1">
        <f t="shared" si="1"/>
        <v>99.609371428571436</v>
      </c>
    </row>
    <row r="16" spans="1:12" x14ac:dyDescent="0.3">
      <c r="A16">
        <v>3</v>
      </c>
      <c r="B16">
        <v>10</v>
      </c>
      <c r="C16">
        <v>11.96</v>
      </c>
      <c r="D16">
        <v>10.97</v>
      </c>
      <c r="E16">
        <v>45.96</v>
      </c>
      <c r="F16">
        <v>45</v>
      </c>
      <c r="G16">
        <v>0.89</v>
      </c>
      <c r="H16">
        <v>136.75</v>
      </c>
      <c r="I16">
        <v>38660</v>
      </c>
      <c r="J16">
        <v>27.46</v>
      </c>
      <c r="K16" s="1">
        <f t="shared" ref="K16:K19" si="2">(G16/C16)*100</f>
        <v>7.4414715719063533</v>
      </c>
      <c r="L16" s="1">
        <f t="shared" ref="L16:L19" si="3">(35000-H16)*100/35000</f>
        <v>99.609285714285718</v>
      </c>
    </row>
    <row r="17" spans="1:12" x14ac:dyDescent="0.3">
      <c r="A17">
        <v>3</v>
      </c>
      <c r="B17">
        <v>12.5</v>
      </c>
      <c r="C17">
        <v>11.96</v>
      </c>
      <c r="D17">
        <v>10.97</v>
      </c>
      <c r="E17">
        <v>45.92</v>
      </c>
      <c r="F17">
        <v>44.94</v>
      </c>
      <c r="G17">
        <v>0.88</v>
      </c>
      <c r="H17">
        <v>136.69999999999999</v>
      </c>
      <c r="I17">
        <v>38670</v>
      </c>
      <c r="J17">
        <v>27.64</v>
      </c>
      <c r="K17" s="1">
        <f t="shared" si="2"/>
        <v>7.3578595317725748</v>
      </c>
      <c r="L17" s="1">
        <f t="shared" si="3"/>
        <v>99.60942857142858</v>
      </c>
    </row>
    <row r="18" spans="1:12" x14ac:dyDescent="0.3">
      <c r="A18">
        <v>3</v>
      </c>
      <c r="B18">
        <v>15</v>
      </c>
      <c r="C18">
        <v>11.94</v>
      </c>
      <c r="D18">
        <v>10.95</v>
      </c>
      <c r="E18">
        <v>45.72</v>
      </c>
      <c r="F18">
        <v>44.81</v>
      </c>
      <c r="G18">
        <v>0.88</v>
      </c>
      <c r="H18">
        <v>138.21</v>
      </c>
      <c r="I18">
        <v>38653</v>
      </c>
      <c r="J18">
        <v>27.72</v>
      </c>
      <c r="K18" s="1">
        <f t="shared" si="2"/>
        <v>7.3701842546063654</v>
      </c>
      <c r="L18" s="1">
        <f t="shared" si="3"/>
        <v>99.605114285714279</v>
      </c>
    </row>
    <row r="19" spans="1:12" x14ac:dyDescent="0.3">
      <c r="A19">
        <v>3</v>
      </c>
      <c r="B19">
        <v>30</v>
      </c>
      <c r="C19">
        <v>11.95</v>
      </c>
      <c r="D19">
        <v>10.96</v>
      </c>
      <c r="E19">
        <v>45.81</v>
      </c>
      <c r="F19">
        <v>44.88</v>
      </c>
      <c r="G19">
        <v>0.89</v>
      </c>
      <c r="H19">
        <v>134.88</v>
      </c>
      <c r="I19">
        <v>38539</v>
      </c>
      <c r="J19">
        <v>27.75</v>
      </c>
      <c r="K19" s="1">
        <f t="shared" si="2"/>
        <v>7.447698744769875</v>
      </c>
      <c r="L19" s="1">
        <f t="shared" si="3"/>
        <v>99.614628571428582</v>
      </c>
    </row>
  </sheetData>
  <mergeCells count="1">
    <mergeCell ref="C1:L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Mean=8L_min</vt:lpstr>
      <vt:lpstr>Mean=10L_min</vt:lpstr>
      <vt:lpstr>Mean=12L_min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Tapas Kumar Das</dc:creator>
  <cp:lastModifiedBy>Anon</cp:lastModifiedBy>
  <dcterms:created xsi:type="dcterms:W3CDTF">2015-06-05T18:17:20Z</dcterms:created>
  <dcterms:modified xsi:type="dcterms:W3CDTF">2023-06-20T04:45:06Z</dcterms:modified>
</cp:coreProperties>
</file>